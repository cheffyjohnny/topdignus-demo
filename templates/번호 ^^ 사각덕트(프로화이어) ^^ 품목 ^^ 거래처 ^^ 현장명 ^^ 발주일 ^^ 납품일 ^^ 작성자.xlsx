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filterPrivacy="1"/>
  <xr:revisionPtr revIDLastSave="0" documentId="8_{67BA56E3-19D6-344B-9665-F4C00FA2F29E}" xr6:coauthVersionLast="47" xr6:coauthVersionMax="47" xr10:uidLastSave="{00000000-0000-0000-0000-000000000000}"/>
  <bookViews>
    <workbookView xWindow="2300" yWindow="600" windowWidth="26500" windowHeight="14980" activeTab="5" xr2:uid="{00000000-000D-0000-FFFF-FFFF00000000}"/>
  </bookViews>
  <sheets>
    <sheet name="1.발주접수" sheetId="1" r:id="rId1"/>
    <sheet name="2-1.차열재 계산식" sheetId="2" r:id="rId2"/>
    <sheet name="2-2.적용단가 계산식" sheetId="3" r:id="rId3"/>
    <sheet name="3.견적서" sheetId="4" r:id="rId4"/>
    <sheet name="4.거래명세서" sheetId="5" r:id="rId5"/>
    <sheet name="5.발주서 " sheetId="6" r:id="rId6"/>
  </sheets>
  <definedNames>
    <definedName name="_xlnm.Print_Area" localSheetId="0">'1.발주접수'!$B4:$G14</definedName>
    <definedName name="_xlnm.Print_Area" localSheetId="3">'3.견적서'!$A1:$J59</definedName>
    <definedName name="_xlnm.Print_Area" localSheetId="4">'4.거래명세서'!$A1:$J44</definedName>
    <definedName name="_xlnm.Print_Area" localSheetId="5">'5.발주서 '!$A1:$I35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6" l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G12" i="6"/>
  <c r="C12" i="6"/>
  <c r="G11" i="6"/>
  <c r="C11" i="6"/>
  <c r="G10" i="6"/>
  <c r="C10" i="6"/>
  <c r="G9" i="6"/>
  <c r="C9" i="6"/>
  <c r="G8" i="6"/>
  <c r="H6" i="6"/>
  <c r="C6" i="6"/>
  <c r="H37" i="5"/>
  <c r="H38" i="5" s="1"/>
  <c r="B18" i="5" s="1"/>
  <c r="A21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13" i="5"/>
  <c r="C12" i="5"/>
  <c r="C11" i="5"/>
  <c r="B9" i="5"/>
  <c r="H37" i="4"/>
  <c r="H38" i="4" s="1"/>
  <c r="A21" i="4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B18" i="4"/>
  <c r="C13" i="4"/>
  <c r="C12" i="4"/>
  <c r="C11" i="4" s="1"/>
  <c r="B9" i="4"/>
</calcChain>
</file>

<file path=xl/sharedStrings.xml><?xml version="1.0" encoding="utf-8"?>
<sst xmlns="http://schemas.openxmlformats.org/spreadsheetml/2006/main" count="192" uniqueCount="112">
  <si>
    <t>발주접수</t>
  </si>
  <si>
    <t>발주의뢰</t>
  </si>
  <si>
    <t>발주의뢰처</t>
  </si>
  <si>
    <t>피앤지</t>
  </si>
  <si>
    <t>발주수신처</t>
  </si>
  <si>
    <t>프로화이어(차열)</t>
  </si>
  <si>
    <t>납품희망일</t>
  </si>
  <si>
    <t>현장명</t>
  </si>
  <si>
    <t>납 품 장 소</t>
  </si>
  <si>
    <t>납품장소</t>
  </si>
  <si>
    <t>주 소</t>
  </si>
  <si>
    <t>주소</t>
  </si>
  <si>
    <t>인수자</t>
  </si>
  <si>
    <t>인수자 연락처</t>
  </si>
  <si>
    <t>010-1111-1111</t>
  </si>
  <si>
    <t>현장요청사항</t>
  </si>
  <si>
    <t>비고</t>
  </si>
  <si>
    <t>납품처</t>
  </si>
  <si>
    <t>NOTE</t>
  </si>
  <si>
    <t xml:space="preserve">발주 후 </t>
  </si>
  <si>
    <t>1. 수주현황 에 입력</t>
  </si>
  <si>
    <t>2. 프로화이어에 접수 유무를 확인</t>
  </si>
  <si>
    <t>3. 거래처에 접수 현황 알림</t>
  </si>
  <si>
    <t>차열재 계산식  —  현장명  (2026-05-19)</t>
  </si>
  <si>
    <t>▶  입상</t>
  </si>
  <si>
    <t>■ 50T×400  (1·2단)</t>
  </si>
  <si>
    <t>공식: 둘레(mm) × 2 × 수량  →  롤 수: 총 길이 ÷ 3,600mm/롤</t>
  </si>
  <si>
    <t>치수 (mm)</t>
  </si>
  <si>
    <t>수량</t>
  </si>
  <si>
    <t>계산식</t>
  </si>
  <si>
    <t>길이 (mm)</t>
  </si>
  <si>
    <t>롤 수</t>
  </si>
  <si>
    <t>250×650</t>
  </si>
  <si>
    <t>둘레 1,800mm × 2(1·2단) × 1(수량) = 3,600mm</t>
  </si>
  <si>
    <t>소 계</t>
  </si>
  <si>
    <t>3,600mm ÷ 3,600 = 1롤</t>
  </si>
  <si>
    <t>■ 25T×400  (1·2·3단)</t>
  </si>
  <si>
    <t>공식: 둘레(mm) × 3 × 수량  →  롤 수: 총 길이 ÷ 7,200mm/롤</t>
  </si>
  <si>
    <t>둘레 1,800mm × 3(1·2·3단) × 1(수량) = 5,400mm</t>
  </si>
  <si>
    <t>5,400mm ÷ 7,200 = 1롤</t>
  </si>
  <si>
    <t>▶ 최종 합계</t>
  </si>
  <si>
    <t>50T×400×3.6M</t>
  </si>
  <si>
    <t>1롤</t>
  </si>
  <si>
    <t>25T×400×7.2M</t>
  </si>
  <si>
    <t>적용단가 계산식  —  ○○현장  (예시)</t>
  </si>
  <si>
    <t>▶  입상 적용단가</t>
  </si>
  <si>
    <t>판매단가/M</t>
  </si>
  <si>
    <t>217,000원/M</t>
  </si>
  <si>
    <t>총 M</t>
  </si>
  <si>
    <t>2.400M  (예: 600×600 × 2개)</t>
  </si>
  <si>
    <t>50T×400 차열재</t>
  </si>
  <si>
    <t>2롤 × 45,000원 = 90,000원</t>
  </si>
  <si>
    <t>25T×400 차열재</t>
  </si>
  <si>
    <t>1롤 × 35,000원 = 35,000원</t>
  </si>
  <si>
    <t>차열재 합계</t>
  </si>
  <si>
    <t>125,000원</t>
  </si>
  <si>
    <t>(217,000 × 2.400 - 125,000) ÷ 2.400 = 164,833원/M → 천원 단위 반올림</t>
  </si>
  <si>
    <t>164,000원/M</t>
  </si>
  <si>
    <t>▶  벽체 적용단가</t>
  </si>
  <si>
    <t>150,000원/M</t>
  </si>
  <si>
    <t>3.600M  (예: 900×900 × 2개)</t>
  </si>
  <si>
    <t>4롤 × 45,000원 = 180,000원</t>
  </si>
  <si>
    <t>180,000원</t>
  </si>
  <si>
    <t>(150,000 × 3.600 - 180,000) ÷ 3.600 = 100,000원/M → 천원 단위 반올림</t>
  </si>
  <si>
    <t>100,000원/M</t>
  </si>
  <si>
    <t>※ 위 수치는 예시입니다. 실제 수주서 저장 시 자동으로 업데이트됩니다.</t>
  </si>
  <si>
    <r>
      <t xml:space="preserve">탑 디뉴스 </t>
    </r>
    <r>
      <rPr>
        <b/>
        <sz val="14"/>
        <color theme="1"/>
        <rFont val="맑은 고딕"/>
        <family val="3"/>
        <charset val="129"/>
        <scheme val="major"/>
      </rPr>
      <t xml:space="preserve">( </t>
    </r>
    <r>
      <rPr>
        <b/>
        <sz val="14"/>
        <color rgb="FFFF0000"/>
        <rFont val="맑은 고딕"/>
        <family val="3"/>
        <charset val="129"/>
        <scheme val="major"/>
      </rPr>
      <t>T</t>
    </r>
    <r>
      <rPr>
        <b/>
        <sz val="14"/>
        <color theme="1"/>
        <rFont val="맑은 고딕"/>
        <family val="3"/>
        <charset val="129"/>
        <scheme val="major"/>
      </rPr>
      <t xml:space="preserve">otal </t>
    </r>
    <r>
      <rPr>
        <b/>
        <sz val="14"/>
        <color rgb="FFFF0000"/>
        <rFont val="맑은 고딕"/>
        <family val="3"/>
        <charset val="129"/>
        <scheme val="major"/>
      </rPr>
      <t>O</t>
    </r>
    <r>
      <rPr>
        <b/>
        <sz val="14"/>
        <color theme="1"/>
        <rFont val="맑은 고딕"/>
        <family val="3"/>
        <charset val="129"/>
        <scheme val="major"/>
      </rPr>
      <t>f fire</t>
    </r>
    <r>
      <rPr>
        <b/>
        <sz val="14"/>
        <color rgb="FFFF0000"/>
        <rFont val="맑은 고딕"/>
        <family val="3"/>
        <charset val="129"/>
        <scheme val="major"/>
      </rPr>
      <t>P</t>
    </r>
    <r>
      <rPr>
        <b/>
        <sz val="14"/>
        <color theme="1"/>
        <rFont val="맑은 고딕"/>
        <family val="3"/>
        <charset val="129"/>
        <scheme val="major"/>
      </rPr>
      <t>roof Material )</t>
    </r>
  </si>
  <si>
    <t>견        적        서</t>
  </si>
  <si>
    <t>귀중</t>
  </si>
  <si>
    <t>주식회사 탑디뉴스 대표 이민수</t>
  </si>
  <si>
    <t>견 적 번 호</t>
  </si>
  <si>
    <t>경기도 화성시 동탄대로 636-3, C동 1206호</t>
  </si>
  <si>
    <t>견 적 일 자</t>
  </si>
  <si>
    <t>t) 010-8884-4742 f) 031-8056-9544</t>
  </si>
  <si>
    <t>현  장  명</t>
  </si>
  <si>
    <t>e-mail) topdi@topdignus.co.kr</t>
  </si>
  <si>
    <r>
      <t xml:space="preserve">하기와 같이 </t>
    </r>
    <r>
      <rPr>
        <b/>
        <sz val="15"/>
        <color rgb="FFFF0000"/>
        <rFont val="맑은 고딕"/>
        <family val="3"/>
        <charset val="129"/>
      </rPr>
      <t>프로화이어</t>
    </r>
    <r>
      <rPr>
        <b/>
        <sz val="15"/>
        <color theme="1"/>
        <rFont val="맑은 고딕"/>
        <family val="3"/>
        <charset val="129"/>
      </rPr>
      <t xml:space="preserve"> 사각덕트를 견적합니다.</t>
    </r>
  </si>
  <si>
    <t>입상</t>
  </si>
  <si>
    <t>벽체</t>
  </si>
  <si>
    <t>전체길이</t>
  </si>
  <si>
    <t>부가세 별도</t>
  </si>
  <si>
    <t>번호</t>
  </si>
  <si>
    <t>구분</t>
  </si>
  <si>
    <t>규격</t>
  </si>
  <si>
    <t>단위</t>
  </si>
  <si>
    <t>M/개</t>
  </si>
  <si>
    <t>단가</t>
  </si>
  <si>
    <t>금액</t>
  </si>
  <si>
    <t>사각덕트 입상</t>
  </si>
  <si>
    <t>SET</t>
  </si>
  <si>
    <t>비고비고</t>
  </si>
  <si>
    <t/>
  </si>
  <si>
    <t>롤</t>
  </si>
  <si>
    <t>운임비</t>
  </si>
  <si>
    <t>계</t>
  </si>
  <si>
    <t xml:space="preserve"> 1. 납품소요기간(발주서 접수후 1~2주일), 주문량에 따라 변경 될 수 있음</t>
  </si>
  <si>
    <t xml:space="preserve"> 2. 입상 (내화보드+ 내화채움 연결소켓 + 가스켓 ), 벽체(내화보드)는 set로 공급하고, 차열재는 롤 단위로 공급</t>
  </si>
  <si>
    <t xml:space="preserve"> 3. 차열재 수량을 확인후 발주 - 반품 불가</t>
  </si>
  <si>
    <t xml:space="preserve"> 4. 인정제품은 반품이 불가하므로 확인후 발주 요함</t>
  </si>
  <si>
    <t xml:space="preserve"> 5. 개구부와 덕트 간격이 50mm 가 넘으면 시공불가(인정서 범위 준수)</t>
  </si>
  <si>
    <t>거  래  명  세  서</t>
  </si>
  <si>
    <r>
      <t xml:space="preserve">탑 디뉴스 </t>
    </r>
    <r>
      <rPr>
        <b/>
        <sz val="14"/>
        <color theme="1"/>
        <rFont val="맑은 고딕"/>
        <family val="3"/>
        <charset val="129"/>
      </rPr>
      <t>( Total Of fireProof Material )</t>
    </r>
  </si>
  <si>
    <t>발      주      서</t>
  </si>
  <si>
    <t>사  각  덕  트</t>
  </si>
  <si>
    <t>프로화이어</t>
  </si>
  <si>
    <t>발주사</t>
  </si>
  <si>
    <t>발주번호</t>
  </si>
  <si>
    <t>현 장 주 소</t>
  </si>
  <si>
    <t>발주일자</t>
  </si>
  <si>
    <t>입고일자</t>
  </si>
  <si>
    <t>현 장 명</t>
  </si>
  <si>
    <t>하기와 같이 발주하오니 지정 기일내 납품을 부탁드립니다. 
특이사항이 발생시 연락주시면 감사하겠습니다.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</si>
</sst>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\(0\)"/>
    <numFmt numFmtId="178" formatCode="_-* #,##0_-;\-* #,##0_-;_-* &quot;-&quot;_-;_-@_-"/>
    <numFmt numFmtId="179" formatCode="yyyy&quot;년&quot;\ m&quot;월&quot;\ d&quot;일&quot;;@"/>
    <numFmt numFmtId="180" formatCode="0_);[Red]\(0\)"/>
  </numFmts>
  <fonts count="6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0"/>
      <color rgb="FFBD4F00"/>
      <name val="맑은 고딕"/>
      <family val="3"/>
      <charset val="129"/>
    </font>
    <font>
      <i/>
      <sz val="9"/>
      <color rgb="FF777777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BD4F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3"/>
      <color rgb="FFFFFFFF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b/>
      <sz val="9"/>
      <name val="맑은 고딕"/>
      <family val="2"/>
      <charset val="129"/>
    </font>
    <font>
      <sz val="9"/>
      <name val="맑은 고딕"/>
      <family val="2"/>
      <charset val="129"/>
    </font>
    <font>
      <b/>
      <sz val="9"/>
      <color rgb="FFBD4F00"/>
      <name val="맑은 고딕"/>
      <family val="2"/>
      <charset val="129"/>
    </font>
    <font>
      <i/>
      <sz val="9"/>
      <color rgb="FF555555"/>
      <name val="맑은 고딕"/>
      <family val="2"/>
      <charset val="129"/>
    </font>
    <font>
      <b/>
      <sz val="11"/>
      <color rgb="FF0000FF"/>
      <name val="맑은 고딕"/>
      <family val="2"/>
      <charset val="129"/>
    </font>
    <font>
      <i/>
      <sz val="9"/>
      <color rgb="FF888888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b/>
      <sz val="14"/>
      <color theme="1"/>
      <name val="맑은 고딕"/>
      <family val="1"/>
      <charset val="129"/>
    </font>
    <font>
      <b/>
      <u/>
      <sz val="14"/>
      <color theme="1"/>
      <name val="문체부 바탕체"/>
      <family val="1"/>
      <charset val="129"/>
    </font>
    <font>
      <b/>
      <sz val="14"/>
      <color theme="1"/>
      <name val="문체부 바탕체"/>
      <family val="1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문체부 바탕체"/>
      <family val="1"/>
      <charset val="129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</font>
    <font>
      <sz val="14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  <scheme val="major"/>
    </font>
    <font>
      <b/>
      <sz val="12"/>
      <color rgb="FFFF0000"/>
      <name val="문체부 바탕체"/>
      <family val="1"/>
      <charset val="129"/>
    </font>
    <font>
      <b/>
      <sz val="16"/>
      <color theme="0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</font>
    <font>
      <b/>
      <sz val="11"/>
      <color theme="1"/>
      <name val="문체부 바탕체"/>
      <family val="1"/>
      <charset val="129"/>
    </font>
    <font>
      <b/>
      <sz val="11"/>
      <color rgb="FFFF0000"/>
      <name val="문체부 바탕체"/>
      <family val="1"/>
      <charset val="129"/>
    </font>
    <font>
      <b/>
      <sz val="14"/>
      <color rgb="FFFF0000"/>
      <name val="문체부 바탕체"/>
      <family val="1"/>
      <charset val="129"/>
    </font>
    <font>
      <sz val="14"/>
      <color theme="1"/>
      <name val="문체부 바탕체"/>
      <family val="1"/>
      <charset val="129"/>
    </font>
    <font>
      <b/>
      <sz val="18"/>
      <color theme="1"/>
      <name val="문체부 바탕체"/>
      <family val="1"/>
      <charset val="129"/>
    </font>
    <font>
      <sz val="12"/>
      <color theme="1"/>
      <name val="문체부 바탕체"/>
      <family val="1"/>
      <charset val="129"/>
    </font>
    <font>
      <sz val="16"/>
      <color theme="1"/>
      <name val="맑은 고딕"/>
      <family val="2"/>
      <charset val="129"/>
    </font>
    <font>
      <sz val="14"/>
      <color theme="1"/>
      <name val="맑은 고딕"/>
      <family val="3"/>
      <charset val="129"/>
    </font>
    <font>
      <b/>
      <sz val="16"/>
      <color theme="1"/>
      <name val="바탕체"/>
      <family val="1"/>
      <charset val="129"/>
    </font>
    <font>
      <b/>
      <u/>
      <sz val="11"/>
      <color theme="1"/>
      <name val="맑은 고딕"/>
      <family val="3"/>
      <charset val="129"/>
    </font>
    <font>
      <sz val="12"/>
      <color theme="1"/>
      <name val="맑은 고딕"/>
      <family val="1"/>
      <charset val="129"/>
    </font>
    <font>
      <sz val="16"/>
      <color theme="1"/>
      <name val="문체부 바탕체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sz val="16"/>
      <color theme="1"/>
      <name val="맑은 고딕"/>
      <family val="1"/>
      <charset val="129"/>
    </font>
    <font>
      <b/>
      <sz val="16"/>
      <color theme="1"/>
      <name val="문체부 바탕체"/>
      <family val="1"/>
      <charset val="129"/>
    </font>
    <font>
      <b/>
      <sz val="14"/>
      <name val="맑은 고딕"/>
      <family val="3"/>
      <charset val="129"/>
    </font>
    <font>
      <b/>
      <sz val="16"/>
      <color rgb="FF375623"/>
      <name val="맑은 고딕"/>
      <family val="3"/>
      <charset val="129"/>
    </font>
    <font>
      <b/>
      <sz val="14"/>
      <color rgb="FFFF0000"/>
      <name val="맑은 고딕"/>
      <family val="3"/>
      <charset val="129"/>
      <scheme val="major"/>
    </font>
    <font>
      <b/>
      <sz val="15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2F75B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6E0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rgb="FFB4B478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8" borderId="4" xfId="0" applyFont="1" applyFill="1" applyBorder="1" applyAlignment="1">
      <alignment horizontal="center" vertical="center"/>
    </xf>
    <xf numFmtId="0" fontId="10" fillId="0" borderId="4" xfId="0" applyFont="1" applyBorder="1"/>
    <xf numFmtId="0" fontId="11" fillId="9" borderId="4" xfId="0" applyFont="1" applyFill="1" applyBorder="1"/>
    <xf numFmtId="0" fontId="11" fillId="0" borderId="4" xfId="0" applyFont="1" applyBorder="1"/>
    <xf numFmtId="0" fontId="12" fillId="0" borderId="4" xfId="0" applyFont="1" applyBorder="1"/>
    <xf numFmtId="0" fontId="16" fillId="0" borderId="4" xfId="0" applyFont="1" applyBorder="1"/>
    <xf numFmtId="177" fontId="1" fillId="0" borderId="0" xfId="0" applyNumberFormat="1" applyFont="1" applyAlignment="1">
      <alignment vertical="center"/>
    </xf>
    <xf numFmtId="178" fontId="22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11" borderId="6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76" fontId="38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center"/>
    </xf>
    <xf numFmtId="179" fontId="38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177" fontId="44" fillId="2" borderId="1" xfId="0" applyNumberFormat="1" applyFont="1" applyFill="1" applyBorder="1" applyAlignment="1">
      <alignment horizontal="center" vertical="center"/>
    </xf>
    <xf numFmtId="177" fontId="45" fillId="2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77" fontId="46" fillId="0" borderId="1" xfId="0" applyNumberFormat="1" applyFont="1" applyBorder="1" applyAlignment="1">
      <alignment horizontal="center" vertical="center"/>
    </xf>
    <xf numFmtId="178" fontId="46" fillId="0" borderId="1" xfId="0" applyNumberFormat="1" applyFont="1" applyBorder="1" applyAlignment="1">
      <alignment horizontal="center" vertical="center"/>
    </xf>
    <xf numFmtId="178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180" fontId="46" fillId="0" borderId="1" xfId="0" applyNumberFormat="1" applyFont="1" applyBorder="1" applyAlignment="1">
      <alignment horizontal="center" vertical="center"/>
    </xf>
    <xf numFmtId="178" fontId="47" fillId="0" borderId="1" xfId="0" applyNumberFormat="1" applyFont="1" applyBorder="1" applyAlignment="1">
      <alignment horizontal="right" vertical="center"/>
    </xf>
    <xf numFmtId="0" fontId="38" fillId="0" borderId="0" xfId="0" applyFont="1" applyAlignment="1">
      <alignment horizontal="left" vertical="center"/>
    </xf>
    <xf numFmtId="177" fontId="49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31" fillId="0" borderId="11" xfId="0" applyFont="1" applyBorder="1"/>
    <xf numFmtId="0" fontId="54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78" fontId="2" fillId="0" borderId="5" xfId="0" applyNumberFormat="1" applyFont="1" applyBorder="1" applyAlignment="1">
      <alignment vertical="center"/>
    </xf>
    <xf numFmtId="0" fontId="30" fillId="0" borderId="5" xfId="0" applyFont="1" applyBorder="1" applyAlignment="1">
      <alignment horizontal="center" vertical="center" wrapText="1"/>
    </xf>
    <xf numFmtId="0" fontId="10" fillId="0" borderId="5" xfId="0" applyFont="1" applyBorder="1"/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11" borderId="6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0" xfId="0" applyFont="1" applyAlignment="1">
      <alignment vertical="center" shrinkToFit="1"/>
    </xf>
    <xf numFmtId="0" fontId="64" fillId="8" borderId="1" xfId="0" applyFont="1" applyFill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178" fontId="34" fillId="0" borderId="1" xfId="0" applyNumberFormat="1" applyFont="1" applyBorder="1" applyAlignment="1">
      <alignment horizontal="center" vertical="center"/>
    </xf>
    <xf numFmtId="178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7" fillId="0" borderId="4" xfId="0" applyFont="1" applyBorder="1"/>
    <xf numFmtId="0" fontId="18" fillId="0" borderId="4" xfId="0" applyFont="1" applyBorder="1"/>
    <xf numFmtId="0" fontId="19" fillId="0" borderId="4" xfId="0" applyFont="1" applyBorder="1"/>
    <xf numFmtId="0" fontId="20" fillId="0" borderId="4" xfId="0" applyFont="1" applyBorder="1"/>
    <xf numFmtId="0" fontId="15" fillId="10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76" fontId="3" fillId="3" borderId="2" xfId="0" applyNumberFormat="1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left" vertical="center"/>
    </xf>
    <xf numFmtId="176" fontId="4" fillId="4" borderId="3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4" xfId="0" applyFont="1" applyFill="1" applyBorder="1"/>
    <xf numFmtId="0" fontId="8" fillId="0" borderId="0" xfId="0" applyFont="1"/>
    <xf numFmtId="0" fontId="11" fillId="0" borderId="4" xfId="0" applyFont="1" applyBorder="1"/>
    <xf numFmtId="0" fontId="13" fillId="5" borderId="4" xfId="0" applyFont="1" applyFill="1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11" borderId="6" xfId="0" applyFont="1" applyFill="1" applyBorder="1" applyAlignment="1">
      <alignment horizontal="center" vertical="center"/>
    </xf>
    <xf numFmtId="0" fontId="31" fillId="11" borderId="7" xfId="0" applyFont="1" applyFill="1" applyBorder="1" applyAlignment="1">
      <alignment horizontal="left" vertical="center"/>
    </xf>
    <xf numFmtId="0" fontId="31" fillId="11" borderId="8" xfId="0" applyFont="1" applyFill="1" applyBorder="1" applyAlignment="1">
      <alignment horizontal="left" vertical="center"/>
    </xf>
    <xf numFmtId="0" fontId="30" fillId="11" borderId="6" xfId="0" applyFont="1" applyFill="1" applyBorder="1" applyAlignment="1">
      <alignment horizontal="center" vertical="center"/>
    </xf>
    <xf numFmtId="176" fontId="34" fillId="11" borderId="6" xfId="0" applyNumberFormat="1" applyFont="1" applyFill="1" applyBorder="1" applyAlignment="1">
      <alignment horizontal="center" vertical="center"/>
    </xf>
    <xf numFmtId="178" fontId="35" fillId="11" borderId="7" xfId="0" applyNumberFormat="1" applyFont="1" applyFill="1" applyBorder="1" applyAlignment="1">
      <alignment horizontal="left" vertical="center"/>
    </xf>
    <xf numFmtId="178" fontId="35" fillId="11" borderId="8" xfId="0" applyNumberFormat="1" applyFont="1" applyFill="1" applyBorder="1" applyAlignment="1">
      <alignment horizontal="left" vertical="center"/>
    </xf>
    <xf numFmtId="179" fontId="34" fillId="11" borderId="6" xfId="0" applyNumberFormat="1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178" fontId="46" fillId="0" borderId="1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79" fontId="46" fillId="11" borderId="6" xfId="0" applyNumberFormat="1" applyFont="1" applyFill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46" fillId="11" borderId="6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4" fillId="8" borderId="1" xfId="0" applyFont="1" applyFill="1" applyBorder="1" applyAlignment="1">
      <alignment horizontal="center"/>
    </xf>
    <xf numFmtId="178" fontId="3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7284</xdr:colOff>
      <xdr:row>1</xdr:row>
      <xdr:rowOff>289335</xdr:rowOff>
    </xdr:from>
    <xdr:to>
      <xdr:col>2</xdr:col>
      <xdr:colOff>902906</xdr:colOff>
      <xdr:row>4</xdr:row>
      <xdr:rowOff>248910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503319</xdr:colOff>
      <xdr:row>2</xdr:row>
      <xdr:rowOff>50353</xdr:rowOff>
    </xdr:from>
    <xdr:to>
      <xdr:col>9</xdr:col>
      <xdr:colOff>252488</xdr:colOff>
      <xdr:row>3</xdr:row>
      <xdr:rowOff>210509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8</xdr:col>
      <xdr:colOff>1391771</xdr:colOff>
      <xdr:row>8</xdr:row>
      <xdr:rowOff>47117</xdr:rowOff>
    </xdr:from>
    <xdr:ext cx="376230" cy="39490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7284</xdr:colOff>
      <xdr:row>1</xdr:row>
      <xdr:rowOff>289335</xdr:rowOff>
    </xdr:from>
    <xdr:to>
      <xdr:col>2</xdr:col>
      <xdr:colOff>902906</xdr:colOff>
      <xdr:row>4</xdr:row>
      <xdr:rowOff>248910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8</xdr:col>
      <xdr:colOff>1418985</xdr:colOff>
      <xdr:row>8</xdr:row>
      <xdr:rowOff>74332</xdr:rowOff>
    </xdr:from>
    <xdr:ext cx="376230" cy="39490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557895</xdr:colOff>
      <xdr:row>1</xdr:row>
      <xdr:rowOff>95249</xdr:rowOff>
    </xdr:from>
    <xdr:to>
      <xdr:col>2</xdr:col>
      <xdr:colOff>168426</xdr:colOff>
      <xdr:row>4</xdr:row>
      <xdr:rowOff>272144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rgbClr val="FF0000"/>
          </a:solidFill>
          <a:headEnd type="triangle"/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zoomScaleNormal="100" workbookViewId="0">
      <selection activeCell="J15" sqref="J15"/>
    </sheetView>
  </sheetViews>
  <sheetFormatPr baseColWidth="10" defaultColWidth="8.83203125" defaultRowHeight="16.5" customHeight="1"/>
  <cols>
    <col min="2" max="2" width="13.1640625" customWidth="1"/>
    <col min="3" max="3" width="21.1640625" customWidth="1"/>
    <col min="4" max="4" width="19.6640625" customWidth="1"/>
    <col min="5" max="6" width="11" customWidth="1"/>
    <col min="7" max="7" width="11.1640625" customWidth="1"/>
  </cols>
  <sheetData>
    <row r="1" spans="1:8" ht="17" customHeight="1">
      <c r="A1" s="1"/>
      <c r="B1" s="1"/>
      <c r="C1" s="1"/>
      <c r="D1" s="1"/>
      <c r="E1" s="1"/>
      <c r="F1" s="1"/>
      <c r="G1" s="1"/>
      <c r="H1" s="1"/>
    </row>
    <row r="2" spans="1:8" ht="17" customHeight="1">
      <c r="A2" s="1"/>
      <c r="B2" s="1"/>
      <c r="C2" s="1"/>
      <c r="D2" s="1"/>
      <c r="E2" s="1"/>
      <c r="F2" s="1"/>
      <c r="G2" s="1"/>
      <c r="H2" s="1"/>
    </row>
    <row r="3" spans="1:8" ht="17" customHeight="1">
      <c r="A3" s="1"/>
      <c r="B3" s="1"/>
      <c r="C3" s="1"/>
      <c r="D3" s="1"/>
      <c r="E3" s="1"/>
      <c r="F3" s="1"/>
      <c r="G3" s="1"/>
      <c r="H3" s="1"/>
    </row>
    <row r="4" spans="1:8" ht="17.25" customHeight="1">
      <c r="A4" s="1"/>
      <c r="B4" s="80" t="s">
        <v>0</v>
      </c>
      <c r="C4" s="80"/>
      <c r="D4" s="80"/>
      <c r="E4" s="1"/>
      <c r="F4" s="81" t="s">
        <v>1</v>
      </c>
      <c r="G4" s="82"/>
      <c r="H4" s="1"/>
    </row>
    <row r="5" spans="1:8" ht="17" customHeight="1">
      <c r="A5" s="1"/>
      <c r="B5" s="2" t="s">
        <v>2</v>
      </c>
      <c r="C5" s="83" t="s">
        <v>3</v>
      </c>
      <c r="D5" s="84"/>
      <c r="E5" s="1"/>
      <c r="F5" s="3" t="s">
        <v>4</v>
      </c>
      <c r="G5" s="3" t="s">
        <v>5</v>
      </c>
      <c r="H5" s="1"/>
    </row>
    <row r="6" spans="1:8" ht="17" customHeight="1">
      <c r="A6" s="1"/>
      <c r="B6" s="2" t="s">
        <v>0</v>
      </c>
      <c r="C6" s="85">
        <v>46161</v>
      </c>
      <c r="D6" s="86"/>
      <c r="E6" s="1"/>
      <c r="F6" s="3"/>
      <c r="G6" s="3"/>
      <c r="H6" s="1"/>
    </row>
    <row r="7" spans="1:8" ht="17" customHeight="1">
      <c r="A7" s="1"/>
      <c r="B7" s="2" t="s">
        <v>6</v>
      </c>
      <c r="C7" s="87">
        <v>46163</v>
      </c>
      <c r="D7" s="88"/>
      <c r="E7" s="1"/>
      <c r="F7" s="3"/>
      <c r="G7" s="3"/>
      <c r="H7" s="1"/>
    </row>
    <row r="8" spans="1:8" ht="17" customHeight="1">
      <c r="A8" s="1"/>
      <c r="B8" s="2" t="s">
        <v>7</v>
      </c>
      <c r="C8" s="89" t="s">
        <v>7</v>
      </c>
      <c r="D8" s="90"/>
      <c r="E8" s="1"/>
      <c r="F8" s="2"/>
      <c r="G8" s="2"/>
      <c r="H8" s="1"/>
    </row>
    <row r="9" spans="1:8" ht="17" customHeight="1">
      <c r="A9" s="1"/>
      <c r="B9" s="2" t="s">
        <v>8</v>
      </c>
      <c r="C9" s="83" t="s">
        <v>9</v>
      </c>
      <c r="D9" s="84"/>
      <c r="E9" s="1"/>
      <c r="F9" s="3"/>
      <c r="G9" s="3"/>
      <c r="H9" s="1"/>
    </row>
    <row r="10" spans="1:8" ht="17" customHeight="1">
      <c r="A10" s="1"/>
      <c r="B10" s="2" t="s">
        <v>10</v>
      </c>
      <c r="C10" s="83" t="s">
        <v>11</v>
      </c>
      <c r="D10" s="84"/>
      <c r="E10" s="1"/>
      <c r="F10" s="3"/>
      <c r="G10" s="3"/>
      <c r="H10" s="1"/>
    </row>
    <row r="11" spans="1:8" ht="17" customHeight="1">
      <c r="A11" s="1"/>
      <c r="B11" s="2" t="s">
        <v>12</v>
      </c>
      <c r="C11" s="83" t="s">
        <v>12</v>
      </c>
      <c r="D11" s="84"/>
      <c r="E11" s="1"/>
      <c r="F11" s="3"/>
      <c r="G11" s="3"/>
      <c r="H11" s="1"/>
    </row>
    <row r="12" spans="1:8" ht="17" customHeight="1">
      <c r="A12" s="1"/>
      <c r="B12" s="2" t="s">
        <v>13</v>
      </c>
      <c r="C12" s="83" t="s">
        <v>14</v>
      </c>
      <c r="D12" s="84"/>
      <c r="E12" s="1"/>
      <c r="F12" s="3"/>
      <c r="G12" s="3"/>
      <c r="H12" s="1"/>
    </row>
    <row r="13" spans="1:8" ht="17" customHeight="1">
      <c r="A13" s="1"/>
      <c r="B13" s="2" t="s">
        <v>15</v>
      </c>
      <c r="C13" s="83" t="s">
        <v>16</v>
      </c>
      <c r="D13" s="84"/>
      <c r="E13" s="1"/>
      <c r="F13" s="3"/>
      <c r="G13" s="3"/>
      <c r="H13" s="1"/>
    </row>
    <row r="14" spans="1:8" ht="17" customHeight="1">
      <c r="A14" s="1"/>
      <c r="B14" s="2" t="s">
        <v>17</v>
      </c>
      <c r="C14" s="83" t="s">
        <v>17</v>
      </c>
      <c r="D14" s="84"/>
      <c r="E14" s="1"/>
      <c r="F14" s="3"/>
      <c r="G14" s="3"/>
      <c r="H14" s="1"/>
    </row>
    <row r="15" spans="1:8" ht="17" customHeight="1">
      <c r="A15" s="1"/>
      <c r="B15" s="1"/>
      <c r="C15" s="1"/>
      <c r="D15" s="1"/>
      <c r="E15" s="1"/>
      <c r="F15" s="1"/>
      <c r="G15" s="1"/>
      <c r="H15" s="1"/>
    </row>
    <row r="16" spans="1:8" ht="17" customHeight="1">
      <c r="A16" s="1"/>
      <c r="B16" s="1"/>
      <c r="C16" s="1"/>
      <c r="D16" s="1"/>
      <c r="E16" s="1"/>
      <c r="F16" s="1"/>
      <c r="G16" s="1"/>
      <c r="H16" s="1"/>
    </row>
    <row r="17" spans="1:16" ht="17" customHeight="1">
      <c r="A17" s="1"/>
      <c r="B17" s="4" t="s">
        <v>18</v>
      </c>
      <c r="C17" s="4"/>
      <c r="D17" s="4"/>
      <c r="E17" s="1"/>
      <c r="F17" s="1"/>
      <c r="G17" s="1"/>
      <c r="H17" s="1"/>
    </row>
    <row r="18" spans="1:16" ht="17" customHeight="1">
      <c r="A18" s="1"/>
      <c r="B18" s="4" t="s">
        <v>19</v>
      </c>
      <c r="C18" s="4"/>
      <c r="D18" s="4"/>
      <c r="E18" s="1"/>
      <c r="F18" s="1"/>
      <c r="G18" s="1"/>
      <c r="H18" s="1"/>
    </row>
    <row r="19" spans="1:16" ht="17" customHeight="1">
      <c r="A19" s="1"/>
      <c r="B19" s="4" t="s">
        <v>20</v>
      </c>
      <c r="C19" s="4"/>
      <c r="D19" s="4"/>
      <c r="E19" s="1"/>
      <c r="F19" s="1"/>
      <c r="G19" s="1"/>
      <c r="H19" s="1"/>
    </row>
    <row r="20" spans="1:16" ht="17" customHeight="1">
      <c r="A20" s="1"/>
      <c r="B20" s="4" t="s">
        <v>21</v>
      </c>
      <c r="C20" s="4"/>
      <c r="D20" s="4"/>
      <c r="E20" s="1"/>
      <c r="F20" s="1"/>
      <c r="G20" s="1"/>
      <c r="H20" s="1"/>
    </row>
    <row r="21" spans="1:16" ht="17" customHeight="1">
      <c r="A21" s="1"/>
      <c r="B21" s="4" t="s">
        <v>22</v>
      </c>
      <c r="C21" s="4"/>
      <c r="D21" s="4"/>
      <c r="E21" s="1"/>
      <c r="F21" s="1"/>
      <c r="G21" s="1"/>
      <c r="H21" s="1"/>
    </row>
    <row r="22" spans="1:16" ht="17" customHeight="1">
      <c r="A22" s="1"/>
      <c r="B22" s="1"/>
      <c r="C22" s="1"/>
      <c r="D22" s="1"/>
      <c r="E22" s="1"/>
      <c r="F22" s="1"/>
      <c r="G22" s="1"/>
      <c r="H22" s="1"/>
    </row>
    <row r="23" spans="1:16" ht="17" customHeight="1">
      <c r="A23" s="1"/>
      <c r="B23" s="1"/>
      <c r="C23" s="1"/>
      <c r="D23" s="1"/>
      <c r="E23" s="1"/>
      <c r="F23" s="1"/>
      <c r="G23" s="1"/>
      <c r="H23" s="1"/>
    </row>
    <row r="24" spans="1:16" ht="17" customHeight="1">
      <c r="A24" s="1"/>
      <c r="B24" s="1"/>
      <c r="C24" s="1"/>
      <c r="D24" s="1"/>
      <c r="E24" s="1"/>
      <c r="F24" s="1"/>
      <c r="G24" s="1"/>
      <c r="H24" s="1"/>
    </row>
    <row r="25" spans="1:16" ht="17" customHeight="1">
      <c r="A25" s="1"/>
      <c r="B25" s="1"/>
      <c r="C25" s="1"/>
      <c r="D25" s="1"/>
      <c r="E25" s="1"/>
      <c r="F25" s="1"/>
      <c r="G25" s="1"/>
      <c r="H25" s="1"/>
    </row>
    <row r="26" spans="1:16" ht="17" customHeight="1">
      <c r="A26" s="1"/>
      <c r="B26" s="1"/>
      <c r="C26" s="1"/>
      <c r="D26" s="1"/>
      <c r="E26" s="1"/>
      <c r="F26" s="1"/>
      <c r="G26" s="1"/>
      <c r="H26" s="1"/>
    </row>
    <row r="27" spans="1:16" ht="17" customHeight="1">
      <c r="A27" s="1"/>
      <c r="B27" s="1"/>
      <c r="C27" s="1"/>
      <c r="D27" s="1"/>
      <c r="E27" s="1"/>
      <c r="F27" s="1"/>
      <c r="G27" s="1"/>
      <c r="H27" s="1"/>
    </row>
    <row r="29" spans="1:16" ht="17" customHeight="1">
      <c r="P29" s="5"/>
    </row>
  </sheetData>
  <mergeCells count="12">
    <mergeCell ref="C13:D13"/>
    <mergeCell ref="C14:D14"/>
    <mergeCell ref="C8:D8"/>
    <mergeCell ref="C9:D9"/>
    <mergeCell ref="C10:D10"/>
    <mergeCell ref="C11:D11"/>
    <mergeCell ref="C12:D12"/>
    <mergeCell ref="B4:D4"/>
    <mergeCell ref="F4:G4"/>
    <mergeCell ref="C5:D5"/>
    <mergeCell ref="C6:D6"/>
    <mergeCell ref="C7:D7"/>
  </mergeCells>
  <phoneticPr fontId="68" type="noConversion"/>
  <pageMargins left="0.70866141732283472" right="0.70866141732283472" top="0.74803149606299213" bottom="0.74803149606299213" header="0.31496062992125984" footer="0.31496062992125984"/>
  <pageSetup paperSize="9" orientation="portrait" useFirstPageNumber="1" horizontalDpi="4294967295" verticalDpi="4294967295"/>
  <headerFooter>
    <oddFooter>&amp;L&amp;A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9"/>
  <sheetViews>
    <sheetView zoomScaleNormal="100" workbookViewId="0">
      <selection activeCell="G25" sqref="G25"/>
    </sheetView>
  </sheetViews>
  <sheetFormatPr baseColWidth="10" defaultColWidth="8.83203125" defaultRowHeight="16.5" customHeight="1"/>
  <cols>
    <col min="2" max="2" width="17.1640625" customWidth="1"/>
  </cols>
  <sheetData>
    <row r="2" spans="1:6" ht="26" customHeight="1">
      <c r="A2" s="91" t="s">
        <v>23</v>
      </c>
      <c r="B2" s="91"/>
      <c r="C2" s="91"/>
      <c r="D2" s="91"/>
      <c r="E2" s="91"/>
      <c r="F2" s="91"/>
    </row>
    <row r="4" spans="1:6" ht="24" customHeight="1">
      <c r="A4" s="92" t="s">
        <v>24</v>
      </c>
      <c r="B4" s="92"/>
      <c r="C4" s="92"/>
      <c r="D4" s="92"/>
      <c r="E4" s="92"/>
      <c r="F4" s="92"/>
    </row>
    <row r="5" spans="1:6" ht="18" customHeight="1">
      <c r="A5" s="93" t="s">
        <v>25</v>
      </c>
      <c r="B5" s="93"/>
      <c r="C5" s="93"/>
      <c r="D5" s="93"/>
      <c r="E5" s="93"/>
      <c r="F5" s="93"/>
    </row>
    <row r="6" spans="1:6" ht="17" customHeight="1">
      <c r="B6" s="94" t="s">
        <v>26</v>
      </c>
      <c r="C6" s="94"/>
      <c r="D6" s="94"/>
      <c r="E6" s="94"/>
      <c r="F6" s="94"/>
    </row>
    <row r="7" spans="1:6" ht="16" customHeight="1"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</row>
    <row r="8" spans="1:6" ht="17" customHeight="1">
      <c r="B8" s="7" t="s">
        <v>32</v>
      </c>
      <c r="C8" s="7">
        <v>1</v>
      </c>
      <c r="D8" s="7" t="s">
        <v>33</v>
      </c>
      <c r="E8" s="7">
        <v>3600</v>
      </c>
      <c r="F8" s="7">
        <v>1</v>
      </c>
    </row>
    <row r="9" spans="1:6" ht="17" customHeight="1">
      <c r="B9" s="8" t="s">
        <v>34</v>
      </c>
      <c r="C9" s="7"/>
      <c r="D9" s="95" t="s">
        <v>35</v>
      </c>
      <c r="E9" s="95"/>
      <c r="F9" s="10">
        <v>1</v>
      </c>
    </row>
    <row r="11" spans="1:6" ht="18" customHeight="1">
      <c r="A11" s="93" t="s">
        <v>36</v>
      </c>
      <c r="B11" s="93"/>
      <c r="C11" s="93"/>
      <c r="D11" s="93"/>
      <c r="E11" s="93"/>
      <c r="F11" s="93"/>
    </row>
    <row r="12" spans="1:6" ht="17" customHeight="1">
      <c r="B12" s="94" t="s">
        <v>37</v>
      </c>
      <c r="C12" s="94"/>
      <c r="D12" s="94"/>
      <c r="E12" s="94"/>
      <c r="F12" s="94"/>
    </row>
    <row r="13" spans="1:6" ht="16" customHeight="1">
      <c r="B13" s="6" t="s">
        <v>27</v>
      </c>
      <c r="C13" s="6" t="s">
        <v>28</v>
      </c>
      <c r="D13" s="6" t="s">
        <v>29</v>
      </c>
      <c r="E13" s="6" t="s">
        <v>30</v>
      </c>
      <c r="F13" s="6" t="s">
        <v>31</v>
      </c>
    </row>
    <row r="14" spans="1:6" ht="17" customHeight="1">
      <c r="B14" s="7" t="s">
        <v>32</v>
      </c>
      <c r="C14" s="7">
        <v>1</v>
      </c>
      <c r="D14" s="7" t="s">
        <v>38</v>
      </c>
      <c r="E14" s="7">
        <v>5400</v>
      </c>
      <c r="F14" s="7">
        <v>1</v>
      </c>
    </row>
    <row r="15" spans="1:6" ht="17" customHeight="1">
      <c r="B15" s="8" t="s">
        <v>34</v>
      </c>
      <c r="C15" s="7"/>
      <c r="D15" s="95" t="s">
        <v>39</v>
      </c>
      <c r="E15" s="95"/>
      <c r="F15" s="10">
        <v>1</v>
      </c>
    </row>
    <row r="17" spans="1:6" ht="22" customHeight="1">
      <c r="A17" s="96" t="s">
        <v>40</v>
      </c>
      <c r="B17" s="96"/>
      <c r="C17" s="96"/>
      <c r="D17" s="96"/>
      <c r="E17" s="96"/>
      <c r="F17" s="96"/>
    </row>
    <row r="18" spans="1:6" ht="17" customHeight="1">
      <c r="B18" s="9" t="s">
        <v>41</v>
      </c>
      <c r="C18" s="10" t="s">
        <v>42</v>
      </c>
    </row>
    <row r="19" spans="1:6" ht="17" customHeight="1">
      <c r="B19" s="9" t="s">
        <v>43</v>
      </c>
      <c r="C19" s="10" t="s">
        <v>42</v>
      </c>
    </row>
  </sheetData>
  <mergeCells count="9">
    <mergeCell ref="A11:F11"/>
    <mergeCell ref="B12:F12"/>
    <mergeCell ref="D15:E15"/>
    <mergeCell ref="A17:F17"/>
    <mergeCell ref="A2:F2"/>
    <mergeCell ref="A4:F4"/>
    <mergeCell ref="A5:F5"/>
    <mergeCell ref="B6:F6"/>
    <mergeCell ref="D9:E9"/>
  </mergeCells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2"/>
  <sheetViews>
    <sheetView zoomScaleNormal="100" workbookViewId="0">
      <selection activeCell="J19" sqref="J19"/>
    </sheetView>
  </sheetViews>
  <sheetFormatPr baseColWidth="10" defaultColWidth="15" defaultRowHeight="17" customHeight="1"/>
  <cols>
    <col min="1" max="1" width="3" customWidth="1"/>
    <col min="2" max="2" width="22" customWidth="1"/>
    <col min="3" max="6" width="14" customWidth="1"/>
    <col min="7" max="7" width="16" customWidth="1"/>
  </cols>
  <sheetData>
    <row r="2" spans="1:7" ht="26" customHeight="1">
      <c r="A2" s="72" t="s">
        <v>44</v>
      </c>
      <c r="B2" s="72"/>
      <c r="C2" s="72"/>
      <c r="D2" s="72"/>
      <c r="E2" s="72"/>
      <c r="F2" s="72"/>
      <c r="G2" s="72"/>
    </row>
    <row r="4" spans="1:7" ht="22" customHeight="1">
      <c r="A4" s="73" t="s">
        <v>45</v>
      </c>
      <c r="B4" s="73"/>
      <c r="C4" s="73"/>
      <c r="D4" s="73"/>
      <c r="E4" s="73"/>
      <c r="F4" s="73"/>
      <c r="G4" s="73"/>
    </row>
    <row r="5" spans="1:7">
      <c r="B5" s="11" t="s">
        <v>46</v>
      </c>
      <c r="C5" s="74" t="s">
        <v>47</v>
      </c>
      <c r="D5" s="74"/>
      <c r="E5" s="74"/>
      <c r="F5" s="74"/>
      <c r="G5" s="74"/>
    </row>
    <row r="6" spans="1:7">
      <c r="B6" s="11" t="s">
        <v>48</v>
      </c>
      <c r="C6" s="74" t="s">
        <v>49</v>
      </c>
      <c r="D6" s="74"/>
      <c r="E6" s="74"/>
      <c r="F6" s="74"/>
      <c r="G6" s="74"/>
    </row>
    <row r="7" spans="1:7">
      <c r="B7" s="11" t="s">
        <v>50</v>
      </c>
      <c r="C7" s="74" t="s">
        <v>51</v>
      </c>
      <c r="D7" s="74"/>
      <c r="E7" s="74"/>
      <c r="F7" s="74"/>
      <c r="G7" s="74"/>
    </row>
    <row r="8" spans="1:7">
      <c r="B8" s="11" t="s">
        <v>52</v>
      </c>
      <c r="C8" s="74" t="s">
        <v>53</v>
      </c>
      <c r="D8" s="74"/>
      <c r="E8" s="74"/>
      <c r="F8" s="74"/>
      <c r="G8" s="74"/>
    </row>
    <row r="9" spans="1:7">
      <c r="B9" s="11" t="s">
        <v>54</v>
      </c>
      <c r="C9" s="75" t="s">
        <v>55</v>
      </c>
      <c r="D9" s="75"/>
      <c r="E9" s="75"/>
      <c r="F9" s="75"/>
      <c r="G9" s="75"/>
    </row>
    <row r="11" spans="1:7" ht="20" customHeight="1">
      <c r="B11" s="76" t="s">
        <v>56</v>
      </c>
      <c r="C11" s="76"/>
      <c r="D11" s="76"/>
      <c r="E11" s="76"/>
      <c r="F11" s="77" t="s">
        <v>57</v>
      </c>
      <c r="G11" s="77"/>
    </row>
    <row r="13" spans="1:7" ht="22" customHeight="1">
      <c r="A13" s="78" t="s">
        <v>58</v>
      </c>
      <c r="B13" s="78"/>
      <c r="C13" s="78"/>
      <c r="D13" s="78"/>
      <c r="E13" s="78"/>
      <c r="F13" s="78"/>
      <c r="G13" s="78"/>
    </row>
    <row r="14" spans="1:7">
      <c r="B14" s="11" t="s">
        <v>46</v>
      </c>
      <c r="C14" s="74" t="s">
        <v>59</v>
      </c>
      <c r="D14" s="74"/>
      <c r="E14" s="74"/>
      <c r="F14" s="74"/>
      <c r="G14" s="74"/>
    </row>
    <row r="15" spans="1:7">
      <c r="B15" s="11" t="s">
        <v>48</v>
      </c>
      <c r="C15" s="74" t="s">
        <v>60</v>
      </c>
      <c r="D15" s="74"/>
      <c r="E15" s="74"/>
      <c r="F15" s="74"/>
      <c r="G15" s="74"/>
    </row>
    <row r="16" spans="1:7">
      <c r="B16" s="11" t="s">
        <v>50</v>
      </c>
      <c r="C16" s="74" t="s">
        <v>61</v>
      </c>
      <c r="D16" s="74"/>
      <c r="E16" s="74"/>
      <c r="F16" s="74"/>
      <c r="G16" s="74"/>
    </row>
    <row r="17" spans="1:7">
      <c r="B17" s="11" t="s">
        <v>54</v>
      </c>
      <c r="C17" s="75" t="s">
        <v>62</v>
      </c>
      <c r="D17" s="75"/>
      <c r="E17" s="75"/>
      <c r="F17" s="75"/>
      <c r="G17" s="75"/>
    </row>
    <row r="19" spans="1:7" ht="20" customHeight="1">
      <c r="B19" s="76" t="s">
        <v>63</v>
      </c>
      <c r="C19" s="76"/>
      <c r="D19" s="76"/>
      <c r="E19" s="76"/>
      <c r="F19" s="77" t="s">
        <v>64</v>
      </c>
      <c r="G19" s="77"/>
    </row>
    <row r="22" spans="1:7" ht="18" customHeight="1">
      <c r="A22" s="79" t="s">
        <v>65</v>
      </c>
      <c r="B22" s="79"/>
      <c r="C22" s="79"/>
      <c r="D22" s="79"/>
      <c r="E22" s="79"/>
      <c r="F22" s="79"/>
      <c r="G22" s="79"/>
    </row>
  </sheetData>
  <mergeCells count="17">
    <mergeCell ref="A22:G22"/>
    <mergeCell ref="C14:G14"/>
    <mergeCell ref="C15:G15"/>
    <mergeCell ref="C16:G16"/>
    <mergeCell ref="C17:G17"/>
    <mergeCell ref="B19:E19"/>
    <mergeCell ref="F19:G19"/>
    <mergeCell ref="C8:G8"/>
    <mergeCell ref="C9:G9"/>
    <mergeCell ref="B11:E11"/>
    <mergeCell ref="F11:G11"/>
    <mergeCell ref="A13:G13"/>
    <mergeCell ref="A2:G2"/>
    <mergeCell ref="A4:G4"/>
    <mergeCell ref="C5:G5"/>
    <mergeCell ref="C6:G6"/>
    <mergeCell ref="C7:G7"/>
  </mergeCells>
  <phoneticPr fontId="68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Q45"/>
  <sheetViews>
    <sheetView view="pageBreakPreview" zoomScale="70" zoomScaleNormal="100" workbookViewId="0">
      <selection activeCell="I15" sqref="I15"/>
    </sheetView>
  </sheetViews>
  <sheetFormatPr baseColWidth="10" defaultColWidth="8.83203125" defaultRowHeight="16.5" customHeight="1"/>
  <cols>
    <col min="2" max="2" width="18.1640625" customWidth="1"/>
    <col min="3" max="3" width="16" customWidth="1"/>
    <col min="4" max="4" width="7" customWidth="1"/>
    <col min="5" max="5" width="5.33203125" style="12" customWidth="1"/>
    <col min="6" max="6" width="9" style="12" customWidth="1"/>
    <col min="7" max="7" width="18.1640625" customWidth="1"/>
    <col min="8" max="8" width="19.33203125" customWidth="1"/>
    <col min="9" max="9" width="27.1640625" customWidth="1"/>
    <col min="10" max="10" width="14.1640625" customWidth="1"/>
    <col min="12" max="12" width="24.1640625" customWidth="1"/>
    <col min="13" max="13" width="12" customWidth="1"/>
    <col min="14" max="14" width="11.6640625" customWidth="1"/>
    <col min="15" max="15" width="11.33203125" customWidth="1"/>
    <col min="16" max="16" width="9.1640625" customWidth="1"/>
    <col min="17" max="17" width="9.1640625" style="13" customWidth="1"/>
    <col min="18" max="18" width="10.5" customWidth="1"/>
  </cols>
  <sheetData>
    <row r="1" spans="1:12" ht="17" customHeight="1">
      <c r="K1" s="14"/>
      <c r="L1" s="13"/>
    </row>
    <row r="2" spans="1:12" ht="25.25" customHeight="1">
      <c r="A2" s="97" t="s">
        <v>66</v>
      </c>
      <c r="B2" s="97"/>
      <c r="C2" s="97"/>
      <c r="D2" s="97"/>
      <c r="E2" s="97"/>
      <c r="F2" s="97"/>
      <c r="G2" s="97"/>
      <c r="H2" s="97"/>
      <c r="I2" s="97"/>
      <c r="J2" s="97"/>
      <c r="K2" s="15"/>
      <c r="L2" s="13"/>
    </row>
    <row r="3" spans="1:12" ht="25.25" customHeight="1">
      <c r="K3" s="15"/>
      <c r="L3" s="13"/>
    </row>
    <row r="4" spans="1:12" ht="25.25" customHeight="1">
      <c r="A4" s="98" t="s">
        <v>67</v>
      </c>
      <c r="B4" s="98"/>
      <c r="C4" s="98"/>
      <c r="D4" s="98"/>
      <c r="E4" s="98"/>
      <c r="F4" s="98"/>
      <c r="G4" s="98"/>
      <c r="H4" s="98"/>
      <c r="I4" s="98"/>
      <c r="J4" s="98"/>
      <c r="K4" s="15"/>
      <c r="L4" s="13"/>
    </row>
    <row r="5" spans="1:12" ht="25.25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15"/>
      <c r="L5" s="13"/>
    </row>
    <row r="6" spans="1:12" ht="25.2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5"/>
      <c r="L6" s="13"/>
    </row>
    <row r="7" spans="1:12" ht="25.25" customHeight="1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5"/>
      <c r="L7" s="13"/>
    </row>
    <row r="8" spans="1:12" ht="17.25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L8" s="13"/>
    </row>
    <row r="9" spans="1:12" ht="19.25" customHeight="1">
      <c r="A9" s="16"/>
      <c r="B9" s="103" t="str">
        <f>'1.발주접수'!$C$5</f>
        <v>피앤지</v>
      </c>
      <c r="C9" s="103"/>
      <c r="D9" s="103"/>
      <c r="E9" s="103"/>
      <c r="F9" s="106" t="s">
        <v>68</v>
      </c>
      <c r="H9" s="104" t="s">
        <v>69</v>
      </c>
      <c r="I9" s="105"/>
      <c r="J9" s="17"/>
      <c r="L9" s="13"/>
    </row>
    <row r="10" spans="1:12" ht="17.5" customHeight="1">
      <c r="A10" s="16"/>
      <c r="B10" s="103"/>
      <c r="C10" s="103"/>
      <c r="D10" s="103"/>
      <c r="E10" s="103"/>
      <c r="F10" s="106"/>
      <c r="H10" s="104"/>
      <c r="I10" s="105"/>
      <c r="J10" s="17"/>
      <c r="L10" s="13"/>
    </row>
    <row r="11" spans="1:12" ht="26.25" customHeight="1">
      <c r="A11" s="18"/>
      <c r="B11" s="19" t="s">
        <v>70</v>
      </c>
      <c r="C11" s="107" t="str">
        <f>TEXT(C12,"yyyy-mm-dd")</f>
        <v>2026-05-19</v>
      </c>
      <c r="D11" s="107"/>
      <c r="E11" s="107"/>
      <c r="F11" s="107"/>
      <c r="H11" s="108" t="s">
        <v>71</v>
      </c>
      <c r="I11" s="109"/>
      <c r="J11" s="20"/>
      <c r="L11" s="13"/>
    </row>
    <row r="12" spans="1:12" ht="31.5" customHeight="1">
      <c r="A12" s="18"/>
      <c r="B12" s="19" t="s">
        <v>72</v>
      </c>
      <c r="C12" s="110">
        <f>'1.발주접수'!$C$6</f>
        <v>46161</v>
      </c>
      <c r="D12" s="110"/>
      <c r="E12" s="110"/>
      <c r="F12" s="110"/>
      <c r="H12" s="108" t="s">
        <v>73</v>
      </c>
      <c r="I12" s="109"/>
      <c r="J12" s="20"/>
      <c r="L12" s="13"/>
    </row>
    <row r="13" spans="1:12" ht="27" customHeight="1">
      <c r="A13" s="18"/>
      <c r="B13" s="19" t="s">
        <v>74</v>
      </c>
      <c r="C13" s="111" t="str">
        <f>'1.발주접수'!$C$8</f>
        <v>현장명</v>
      </c>
      <c r="D13" s="111"/>
      <c r="E13" s="111"/>
      <c r="F13" s="111"/>
      <c r="H13" s="108" t="s">
        <v>75</v>
      </c>
      <c r="I13" s="109"/>
      <c r="J13" s="20"/>
      <c r="L13" s="13"/>
    </row>
    <row r="14" spans="1:12" ht="16.5" customHeight="1">
      <c r="A14" s="18"/>
      <c r="B14" s="18"/>
      <c r="C14" s="21"/>
      <c r="D14" s="22"/>
      <c r="J14" s="23"/>
      <c r="L14" s="13"/>
    </row>
    <row r="15" spans="1:12" ht="24" customHeight="1">
      <c r="A15" s="18"/>
      <c r="B15" s="24" t="s">
        <v>76</v>
      </c>
      <c r="C15" s="25"/>
      <c r="D15" s="26"/>
      <c r="H15" s="27" t="s">
        <v>77</v>
      </c>
      <c r="I15" s="28"/>
      <c r="J15" s="29"/>
      <c r="L15" s="13"/>
    </row>
    <row r="16" spans="1:12" ht="20.25" customHeight="1">
      <c r="A16" s="18"/>
      <c r="B16" s="5"/>
      <c r="C16" s="25"/>
      <c r="D16" s="26"/>
      <c r="H16" s="27" t="s">
        <v>78</v>
      </c>
      <c r="I16" s="28"/>
      <c r="J16" s="29"/>
      <c r="L16" s="13"/>
    </row>
    <row r="17" spans="1:12" ht="20.25" customHeight="1">
      <c r="A17" s="18"/>
      <c r="B17" s="5"/>
      <c r="C17" s="25"/>
      <c r="D17" s="30"/>
      <c r="H17" s="16" t="s">
        <v>79</v>
      </c>
      <c r="I17" s="28"/>
      <c r="J17" s="29"/>
      <c r="L17" s="13"/>
    </row>
    <row r="18" spans="1:12" ht="21" customHeight="1">
      <c r="B18" s="31" t="str">
        <f>"[납품금액]"&amp;"一金"&amp;NUMBERSTRING(I38,1)&amp;"원정"</f>
        <v>[납품금액]一金영원정</v>
      </c>
      <c r="I18" s="112" t="s">
        <v>80</v>
      </c>
      <c r="J18" s="112"/>
    </row>
    <row r="19" spans="1:12" ht="41.5" customHeight="1">
      <c r="A19" s="32" t="s">
        <v>81</v>
      </c>
      <c r="B19" s="32" t="s">
        <v>82</v>
      </c>
      <c r="C19" s="33" t="s">
        <v>83</v>
      </c>
      <c r="D19" s="32" t="s">
        <v>84</v>
      </c>
      <c r="E19" s="34" t="s">
        <v>28</v>
      </c>
      <c r="F19" s="35" t="s">
        <v>85</v>
      </c>
      <c r="G19" s="32" t="s">
        <v>86</v>
      </c>
      <c r="H19" s="32" t="s">
        <v>87</v>
      </c>
      <c r="I19" s="113" t="s">
        <v>16</v>
      </c>
      <c r="J19" s="113"/>
      <c r="L19" s="13"/>
    </row>
    <row r="20" spans="1:12" ht="26.25" customHeight="1">
      <c r="A20" s="36">
        <v>1</v>
      </c>
      <c r="B20" s="37" t="s">
        <v>88</v>
      </c>
      <c r="C20" s="38" t="s">
        <v>32</v>
      </c>
      <c r="D20" s="38" t="s">
        <v>89</v>
      </c>
      <c r="E20" s="39">
        <v>1</v>
      </c>
      <c r="F20" s="39">
        <v>1.8</v>
      </c>
      <c r="G20" s="40">
        <v>162000</v>
      </c>
      <c r="H20" s="41">
        <v>291600</v>
      </c>
      <c r="I20" s="114" t="s">
        <v>90</v>
      </c>
      <c r="J20" s="114"/>
      <c r="L20" s="13"/>
    </row>
    <row r="21" spans="1:12" ht="24" customHeight="1">
      <c r="A21" s="36">
        <f>A20+1</f>
        <v>2</v>
      </c>
      <c r="B21" s="37" t="s">
        <v>41</v>
      </c>
      <c r="C21" s="38" t="s">
        <v>91</v>
      </c>
      <c r="D21" s="38" t="s">
        <v>92</v>
      </c>
      <c r="E21" s="39">
        <v>1</v>
      </c>
      <c r="F21" s="39"/>
      <c r="G21" s="40">
        <v>50000</v>
      </c>
      <c r="H21" s="41">
        <v>50000</v>
      </c>
      <c r="I21" s="114" t="s">
        <v>91</v>
      </c>
      <c r="J21" s="114"/>
      <c r="L21" s="13"/>
    </row>
    <row r="22" spans="1:12" ht="24" customHeight="1">
      <c r="A22" s="36">
        <f t="shared" ref="A22:A38" si="0">A21+1</f>
        <v>3</v>
      </c>
      <c r="B22" s="37" t="s">
        <v>43</v>
      </c>
      <c r="C22" s="38" t="s">
        <v>91</v>
      </c>
      <c r="D22" s="38" t="s">
        <v>92</v>
      </c>
      <c r="E22" s="39">
        <v>1</v>
      </c>
      <c r="F22" s="39"/>
      <c r="G22" s="40">
        <v>48000</v>
      </c>
      <c r="H22" s="41">
        <v>48000</v>
      </c>
      <c r="I22" s="114" t="s">
        <v>91</v>
      </c>
      <c r="J22" s="114"/>
      <c r="L22" s="13"/>
    </row>
    <row r="23" spans="1:12" ht="24" customHeight="1">
      <c r="A23" s="36">
        <f t="shared" si="0"/>
        <v>4</v>
      </c>
      <c r="B23" s="37"/>
      <c r="C23" s="38"/>
      <c r="D23" s="38"/>
      <c r="E23" s="39"/>
      <c r="F23" s="39"/>
      <c r="G23" s="40"/>
      <c r="H23" s="41"/>
      <c r="I23" s="114"/>
      <c r="J23" s="114"/>
      <c r="L23" s="13"/>
    </row>
    <row r="24" spans="1:12" ht="24" customHeight="1">
      <c r="A24" s="36">
        <f t="shared" si="0"/>
        <v>5</v>
      </c>
      <c r="B24" s="37"/>
      <c r="C24" s="38"/>
      <c r="D24" s="38"/>
      <c r="E24" s="39"/>
      <c r="F24" s="39"/>
      <c r="G24" s="40"/>
      <c r="H24" s="41"/>
      <c r="I24" s="114"/>
      <c r="J24" s="114"/>
      <c r="L24" s="13"/>
    </row>
    <row r="25" spans="1:12" ht="24" customHeight="1">
      <c r="A25" s="36">
        <f t="shared" si="0"/>
        <v>6</v>
      </c>
      <c r="B25" s="37"/>
      <c r="C25" s="38"/>
      <c r="D25" s="38"/>
      <c r="E25" s="39"/>
      <c r="F25" s="39"/>
      <c r="G25" s="40"/>
      <c r="H25" s="41"/>
      <c r="I25" s="114"/>
      <c r="J25" s="114"/>
      <c r="L25" s="13"/>
    </row>
    <row r="26" spans="1:12" ht="24" customHeight="1">
      <c r="A26" s="36">
        <f t="shared" si="0"/>
        <v>7</v>
      </c>
      <c r="B26" s="37"/>
      <c r="C26" s="38"/>
      <c r="D26" s="38"/>
      <c r="E26" s="39"/>
      <c r="F26" s="39"/>
      <c r="G26" s="40"/>
      <c r="H26" s="41"/>
      <c r="I26" s="114"/>
      <c r="J26" s="114"/>
      <c r="L26" s="13"/>
    </row>
    <row r="27" spans="1:12" ht="24" customHeight="1">
      <c r="A27" s="36">
        <f t="shared" si="0"/>
        <v>8</v>
      </c>
      <c r="B27" s="37"/>
      <c r="C27" s="38"/>
      <c r="D27" s="38"/>
      <c r="E27" s="39"/>
      <c r="F27" s="39"/>
      <c r="G27" s="40"/>
      <c r="H27" s="41"/>
      <c r="I27" s="114"/>
      <c r="J27" s="114"/>
      <c r="L27" s="13"/>
    </row>
    <row r="28" spans="1:12" ht="24" customHeight="1">
      <c r="A28" s="36">
        <f t="shared" si="0"/>
        <v>9</v>
      </c>
      <c r="B28" s="37"/>
      <c r="C28" s="38"/>
      <c r="D28" s="38"/>
      <c r="E28" s="39"/>
      <c r="F28" s="39"/>
      <c r="G28" s="40"/>
      <c r="H28" s="41"/>
      <c r="I28" s="114"/>
      <c r="J28" s="114"/>
      <c r="L28" s="13"/>
    </row>
    <row r="29" spans="1:12" ht="24" customHeight="1">
      <c r="A29" s="36">
        <f t="shared" si="0"/>
        <v>10</v>
      </c>
      <c r="B29" s="37"/>
      <c r="C29" s="38"/>
      <c r="D29" s="38"/>
      <c r="E29" s="39"/>
      <c r="F29" s="39"/>
      <c r="G29" s="40"/>
      <c r="H29" s="41"/>
      <c r="I29" s="114"/>
      <c r="J29" s="114"/>
      <c r="L29" s="13"/>
    </row>
    <row r="30" spans="1:12" ht="24" customHeight="1">
      <c r="A30" s="36">
        <f t="shared" si="0"/>
        <v>11</v>
      </c>
      <c r="B30" s="37"/>
      <c r="C30" s="38"/>
      <c r="D30" s="38"/>
      <c r="E30" s="39"/>
      <c r="F30" s="39"/>
      <c r="G30" s="40"/>
      <c r="H30" s="41"/>
      <c r="I30" s="114"/>
      <c r="J30" s="114"/>
      <c r="L30" s="13"/>
    </row>
    <row r="31" spans="1:12" ht="24" customHeight="1">
      <c r="A31" s="36">
        <f t="shared" si="0"/>
        <v>12</v>
      </c>
      <c r="B31" s="37"/>
      <c r="C31" s="38"/>
      <c r="D31" s="38"/>
      <c r="E31" s="39"/>
      <c r="F31" s="39"/>
      <c r="G31" s="40"/>
      <c r="H31" s="41"/>
      <c r="I31" s="114"/>
      <c r="J31" s="114"/>
      <c r="L31" s="13"/>
    </row>
    <row r="32" spans="1:12" ht="24" customHeight="1">
      <c r="A32" s="36">
        <f t="shared" si="0"/>
        <v>13</v>
      </c>
      <c r="B32" s="37"/>
      <c r="C32" s="38"/>
      <c r="D32" s="38"/>
      <c r="E32" s="39"/>
      <c r="F32" s="39"/>
      <c r="G32" s="40"/>
      <c r="H32" s="41"/>
      <c r="I32" s="114"/>
      <c r="J32" s="114"/>
      <c r="L32" s="13"/>
    </row>
    <row r="33" spans="1:12" ht="24" customHeight="1">
      <c r="A33" s="36">
        <f t="shared" si="0"/>
        <v>14</v>
      </c>
      <c r="B33" s="37"/>
      <c r="C33" s="38"/>
      <c r="D33" s="38"/>
      <c r="E33" s="39"/>
      <c r="F33" s="39"/>
      <c r="G33" s="40"/>
      <c r="H33" s="41"/>
      <c r="I33" s="114"/>
      <c r="J33" s="114"/>
      <c r="L33" s="13"/>
    </row>
    <row r="34" spans="1:12" ht="24" customHeight="1">
      <c r="A34" s="36">
        <f t="shared" si="0"/>
        <v>15</v>
      </c>
      <c r="B34" s="37"/>
      <c r="C34" s="38"/>
      <c r="D34" s="38"/>
      <c r="E34" s="39"/>
      <c r="F34" s="39"/>
      <c r="G34" s="40"/>
      <c r="H34" s="41"/>
      <c r="I34" s="114"/>
      <c r="J34" s="114"/>
      <c r="L34" s="13"/>
    </row>
    <row r="35" spans="1:12" ht="24" customHeight="1">
      <c r="A35" s="36">
        <f t="shared" si="0"/>
        <v>16</v>
      </c>
      <c r="B35" s="37"/>
      <c r="C35" s="38"/>
      <c r="D35" s="38"/>
      <c r="E35" s="39"/>
      <c r="F35" s="39"/>
      <c r="G35" s="40"/>
      <c r="H35" s="41"/>
      <c r="I35" s="114"/>
      <c r="J35" s="114"/>
      <c r="L35" s="13"/>
    </row>
    <row r="36" spans="1:12" ht="24" customHeight="1">
      <c r="A36" s="36">
        <f t="shared" si="0"/>
        <v>17</v>
      </c>
      <c r="B36" s="37"/>
      <c r="C36" s="38"/>
      <c r="D36" s="38"/>
      <c r="E36" s="39"/>
      <c r="F36" s="39"/>
      <c r="G36" s="40"/>
      <c r="H36" s="41"/>
      <c r="I36" s="114"/>
      <c r="J36" s="114"/>
      <c r="L36" s="13"/>
    </row>
    <row r="37" spans="1:12" ht="24" customHeight="1">
      <c r="A37" s="36">
        <f t="shared" si="0"/>
        <v>18</v>
      </c>
      <c r="B37" s="38" t="s">
        <v>93</v>
      </c>
      <c r="C37" s="38"/>
      <c r="D37" s="38"/>
      <c r="E37" s="39">
        <v>1</v>
      </c>
      <c r="F37" s="39"/>
      <c r="G37" s="40"/>
      <c r="H37" s="41">
        <f>E37*G37</f>
        <v>0</v>
      </c>
      <c r="I37" s="114"/>
      <c r="J37" s="114"/>
      <c r="L37" s="13"/>
    </row>
    <row r="38" spans="1:12" ht="24" customHeight="1">
      <c r="A38" s="36">
        <f t="shared" si="0"/>
        <v>19</v>
      </c>
      <c r="B38" s="38" t="s">
        <v>94</v>
      </c>
      <c r="C38" s="42"/>
      <c r="D38" s="42"/>
      <c r="E38" s="39"/>
      <c r="F38" s="39"/>
      <c r="G38" s="43"/>
      <c r="H38" s="44">
        <f>SUM(H20:H37)</f>
        <v>389600</v>
      </c>
      <c r="I38" s="114"/>
      <c r="J38" s="114"/>
      <c r="L38" s="13"/>
    </row>
    <row r="39" spans="1:12" ht="24" customHeight="1">
      <c r="A39" s="115" t="s">
        <v>18</v>
      </c>
      <c r="B39" s="115"/>
      <c r="C39" s="115"/>
      <c r="D39" s="115"/>
      <c r="E39" s="115"/>
      <c r="F39" s="115"/>
      <c r="G39" s="115"/>
      <c r="H39" s="115"/>
      <c r="I39" s="115"/>
      <c r="J39" s="115"/>
      <c r="L39" s="13"/>
    </row>
    <row r="40" spans="1:12" ht="24" customHeight="1">
      <c r="A40" s="116" t="s">
        <v>95</v>
      </c>
      <c r="B40" s="116"/>
      <c r="C40" s="116"/>
      <c r="D40" s="116"/>
      <c r="E40" s="116"/>
      <c r="F40" s="116"/>
      <c r="G40" s="116"/>
      <c r="H40" s="116"/>
      <c r="I40" s="116"/>
      <c r="J40" s="116"/>
      <c r="L40" s="13"/>
    </row>
    <row r="41" spans="1:12" ht="25.25" customHeight="1">
      <c r="A41" s="116" t="s">
        <v>96</v>
      </c>
      <c r="B41" s="116"/>
      <c r="C41" s="116"/>
      <c r="D41" s="116"/>
      <c r="E41" s="116"/>
      <c r="F41" s="116"/>
      <c r="G41" s="116"/>
      <c r="H41" s="116"/>
      <c r="I41" s="116"/>
      <c r="J41" s="116"/>
      <c r="L41" s="13"/>
    </row>
    <row r="42" spans="1:12" ht="25.25" customHeight="1">
      <c r="A42" s="117" t="s">
        <v>97</v>
      </c>
      <c r="B42" s="117"/>
      <c r="C42" s="117"/>
      <c r="D42" s="117"/>
      <c r="E42" s="117"/>
      <c r="F42" s="117"/>
      <c r="G42" s="117"/>
      <c r="H42" s="117"/>
      <c r="I42" s="117"/>
      <c r="J42" s="117"/>
      <c r="L42" s="13"/>
    </row>
    <row r="43" spans="1:12" ht="25.25" customHeight="1">
      <c r="A43" s="117" t="s">
        <v>98</v>
      </c>
      <c r="B43" s="117"/>
      <c r="C43" s="117"/>
      <c r="D43" s="117"/>
      <c r="E43" s="117"/>
      <c r="F43" s="117"/>
      <c r="G43" s="117"/>
      <c r="H43" s="117"/>
      <c r="I43" s="117"/>
      <c r="J43" s="117"/>
      <c r="L43" s="13"/>
    </row>
    <row r="44" spans="1:12" ht="25.25" customHeight="1">
      <c r="A44" s="118" t="s">
        <v>99</v>
      </c>
      <c r="B44" s="118"/>
      <c r="C44" s="118"/>
      <c r="D44" s="118"/>
      <c r="E44" s="118"/>
      <c r="F44" s="118"/>
      <c r="G44" s="118"/>
      <c r="H44" s="118"/>
      <c r="I44" s="118"/>
      <c r="J44" s="118"/>
      <c r="L44" s="13"/>
    </row>
    <row r="45" spans="1:12" ht="25.25" customHeight="1">
      <c r="L45" s="13"/>
    </row>
  </sheetData>
  <mergeCells count="42">
    <mergeCell ref="A44:J44"/>
    <mergeCell ref="A39:J39"/>
    <mergeCell ref="A40:J40"/>
    <mergeCell ref="A41:J41"/>
    <mergeCell ref="A42:J42"/>
    <mergeCell ref="A43:J43"/>
    <mergeCell ref="I34:J34"/>
    <mergeCell ref="I35:J35"/>
    <mergeCell ref="I36:J36"/>
    <mergeCell ref="I37:J37"/>
    <mergeCell ref="I38:J38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C12:F12"/>
    <mergeCell ref="H12:I12"/>
    <mergeCell ref="C13:F13"/>
    <mergeCell ref="H13:I13"/>
    <mergeCell ref="I18:J18"/>
    <mergeCell ref="A8:J8"/>
    <mergeCell ref="B9:E10"/>
    <mergeCell ref="H9:I10"/>
    <mergeCell ref="F9:F10"/>
    <mergeCell ref="C11:F11"/>
    <mergeCell ref="H11:I11"/>
    <mergeCell ref="A2:J2"/>
    <mergeCell ref="A4:J4"/>
    <mergeCell ref="A5:J5"/>
    <mergeCell ref="A6:J6"/>
    <mergeCell ref="A7:J7"/>
  </mergeCells>
  <phoneticPr fontId="6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7" fitToHeight="0" orientation="portrait" useFirstPageNumber="1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  <pageSetUpPr fitToPage="1"/>
  </sheetPr>
  <dimension ref="A1:P45"/>
  <sheetViews>
    <sheetView view="pageBreakPreview" zoomScale="55" zoomScaleNormal="100" workbookViewId="0">
      <selection activeCell="I15" sqref="I15"/>
    </sheetView>
  </sheetViews>
  <sheetFormatPr baseColWidth="10" defaultColWidth="8.83203125" defaultRowHeight="16.5" customHeight="1"/>
  <cols>
    <col min="2" max="2" width="21.1640625" customWidth="1"/>
    <col min="3" max="3" width="16" customWidth="1"/>
    <col min="4" max="4" width="7" customWidth="1"/>
    <col min="5" max="5" width="5.33203125" style="12" customWidth="1"/>
    <col min="6" max="6" width="9" style="12" customWidth="1"/>
    <col min="7" max="7" width="18.1640625" customWidth="1"/>
    <col min="8" max="8" width="24.83203125" customWidth="1"/>
    <col min="9" max="9" width="27.1640625" customWidth="1"/>
    <col min="10" max="10" width="14.1640625" customWidth="1"/>
    <col min="12" max="12" width="24.1640625" customWidth="1"/>
    <col min="13" max="13" width="11.6640625" customWidth="1"/>
    <col min="14" max="14" width="11.33203125" customWidth="1"/>
    <col min="15" max="15" width="9.1640625" customWidth="1"/>
    <col min="16" max="16" width="9.1640625" style="13" customWidth="1"/>
    <col min="17" max="17" width="10.5" customWidth="1"/>
  </cols>
  <sheetData>
    <row r="1" spans="1:12" ht="17" customHeight="1">
      <c r="K1" s="14"/>
      <c r="L1" s="13"/>
    </row>
    <row r="2" spans="1:12" ht="25.25" customHeight="1">
      <c r="A2" s="97" t="s">
        <v>66</v>
      </c>
      <c r="B2" s="97"/>
      <c r="C2" s="97"/>
      <c r="D2" s="97"/>
      <c r="E2" s="97"/>
      <c r="F2" s="97"/>
      <c r="G2" s="97"/>
      <c r="H2" s="97"/>
      <c r="I2" s="97"/>
      <c r="J2" s="97"/>
      <c r="K2" s="15"/>
      <c r="L2" s="13"/>
    </row>
    <row r="3" spans="1:12" ht="25.25" customHeight="1">
      <c r="K3" s="15"/>
      <c r="L3" s="13"/>
    </row>
    <row r="4" spans="1:12" ht="25.25" customHeight="1">
      <c r="A4" s="98" t="s">
        <v>100</v>
      </c>
      <c r="B4" s="98"/>
      <c r="C4" s="98"/>
      <c r="D4" s="98"/>
      <c r="E4" s="98"/>
      <c r="F4" s="98"/>
      <c r="G4" s="98"/>
      <c r="H4" s="98"/>
      <c r="I4" s="98"/>
      <c r="J4" s="98"/>
      <c r="K4" s="15"/>
      <c r="L4" s="13"/>
    </row>
    <row r="5" spans="1:12" ht="25.25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15"/>
      <c r="L5" s="13"/>
    </row>
    <row r="6" spans="1:12" ht="25.2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5"/>
      <c r="L6" s="13"/>
    </row>
    <row r="7" spans="1:12" ht="24.75" customHeight="1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5"/>
      <c r="L7" s="13"/>
    </row>
    <row r="8" spans="1:12" ht="17.25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L8" s="13"/>
    </row>
    <row r="9" spans="1:12" ht="19.25" customHeight="1">
      <c r="A9" s="16"/>
      <c r="B9" s="103" t="str">
        <f>'1.발주접수'!$C$5</f>
        <v>피앤지</v>
      </c>
      <c r="C9" s="103"/>
      <c r="D9" s="103"/>
      <c r="E9" s="103"/>
      <c r="F9" s="106" t="s">
        <v>68</v>
      </c>
      <c r="H9" s="104" t="s">
        <v>69</v>
      </c>
      <c r="I9" s="105"/>
      <c r="J9" s="17"/>
      <c r="L9" s="13"/>
    </row>
    <row r="10" spans="1:12" ht="17.5" customHeight="1">
      <c r="A10" s="16"/>
      <c r="B10" s="103"/>
      <c r="C10" s="103"/>
      <c r="D10" s="103"/>
      <c r="E10" s="103"/>
      <c r="F10" s="106"/>
      <c r="H10" s="104"/>
      <c r="I10" s="105"/>
      <c r="J10" s="17"/>
      <c r="L10" s="13"/>
    </row>
    <row r="11" spans="1:12" ht="26.25" customHeight="1">
      <c r="A11" s="18"/>
      <c r="B11" s="19" t="s">
        <v>70</v>
      </c>
      <c r="C11" s="107" t="str">
        <f>TEXT(C12,"yyyy-mm-dd")</f>
        <v>2026-05-19</v>
      </c>
      <c r="D11" s="107"/>
      <c r="E11" s="107"/>
      <c r="F11" s="107"/>
      <c r="H11" s="108" t="s">
        <v>71</v>
      </c>
      <c r="I11" s="109"/>
      <c r="J11" s="20"/>
      <c r="L11" s="13"/>
    </row>
    <row r="12" spans="1:12" ht="31.5" customHeight="1">
      <c r="A12" s="18"/>
      <c r="B12" s="19" t="s">
        <v>72</v>
      </c>
      <c r="C12" s="110">
        <f>'1.발주접수'!$C$6</f>
        <v>46161</v>
      </c>
      <c r="D12" s="110"/>
      <c r="E12" s="110"/>
      <c r="F12" s="110"/>
      <c r="H12" s="108" t="s">
        <v>73</v>
      </c>
      <c r="I12" s="109"/>
      <c r="J12" s="20"/>
      <c r="L12" s="13"/>
    </row>
    <row r="13" spans="1:12" ht="27" customHeight="1">
      <c r="A13" s="18"/>
      <c r="B13" s="19" t="s">
        <v>74</v>
      </c>
      <c r="C13" s="111" t="str">
        <f>'1.발주접수'!$C$8</f>
        <v>현장명</v>
      </c>
      <c r="D13" s="111"/>
      <c r="E13" s="111"/>
      <c r="F13" s="111"/>
      <c r="H13" s="108" t="s">
        <v>75</v>
      </c>
      <c r="I13" s="109"/>
      <c r="J13" s="20"/>
      <c r="L13" s="13"/>
    </row>
    <row r="14" spans="1:12" ht="16.5" customHeight="1">
      <c r="A14" s="18"/>
      <c r="B14" s="18"/>
      <c r="C14" s="21"/>
      <c r="D14" s="22"/>
      <c r="J14" s="23"/>
      <c r="L14" s="13"/>
    </row>
    <row r="15" spans="1:12" ht="20.25" customHeight="1">
      <c r="A15" s="18"/>
      <c r="B15" s="18"/>
      <c r="C15" s="21"/>
      <c r="D15" s="22"/>
      <c r="H15" s="27" t="s">
        <v>77</v>
      </c>
      <c r="J15" s="23"/>
      <c r="L15" s="13"/>
    </row>
    <row r="16" spans="1:12" ht="20.25" customHeight="1">
      <c r="A16" s="18"/>
      <c r="B16" s="5"/>
      <c r="C16" s="25"/>
      <c r="D16" s="26"/>
      <c r="H16" s="27" t="s">
        <v>78</v>
      </c>
      <c r="J16" s="29"/>
      <c r="L16" s="13"/>
    </row>
    <row r="17" spans="1:12" ht="20.25" customHeight="1">
      <c r="B17" s="31"/>
      <c r="C17" s="25"/>
      <c r="D17" s="45"/>
      <c r="E17" s="46"/>
      <c r="F17" s="46"/>
      <c r="G17" s="47"/>
      <c r="H17" s="16" t="s">
        <v>79</v>
      </c>
      <c r="I17" s="47"/>
      <c r="J17" s="48"/>
      <c r="L17" s="13"/>
    </row>
    <row r="18" spans="1:12" ht="21" customHeight="1">
      <c r="A18" s="49"/>
      <c r="B18" s="49" t="str">
        <f>"[납품금액]"&amp;"一金"&amp;NUMBERSTRING(H38,1)&amp;"원정"</f>
        <v>[납품금액]一金삼십팔만구천육백원정</v>
      </c>
      <c r="C18" s="49"/>
      <c r="D18" s="49"/>
      <c r="E18" s="49"/>
      <c r="F18" s="49"/>
      <c r="G18" s="49"/>
      <c r="H18" s="49"/>
      <c r="I18" s="120" t="s">
        <v>80</v>
      </c>
      <c r="J18" s="120"/>
    </row>
    <row r="19" spans="1:12" ht="41.5" customHeight="1">
      <c r="A19" s="32" t="s">
        <v>81</v>
      </c>
      <c r="B19" s="32" t="s">
        <v>82</v>
      </c>
      <c r="C19" s="33" t="s">
        <v>83</v>
      </c>
      <c r="D19" s="32" t="s">
        <v>84</v>
      </c>
      <c r="E19" s="34" t="s">
        <v>28</v>
      </c>
      <c r="F19" s="35" t="s">
        <v>85</v>
      </c>
      <c r="G19" s="32" t="s">
        <v>86</v>
      </c>
      <c r="H19" s="32" t="s">
        <v>87</v>
      </c>
      <c r="I19" s="113" t="s">
        <v>16</v>
      </c>
      <c r="J19" s="113"/>
      <c r="L19" s="13"/>
    </row>
    <row r="20" spans="1:12" ht="25" customHeight="1">
      <c r="A20" s="36">
        <v>1</v>
      </c>
      <c r="B20" s="37" t="s">
        <v>88</v>
      </c>
      <c r="C20" s="38" t="s">
        <v>32</v>
      </c>
      <c r="D20" s="38" t="s">
        <v>89</v>
      </c>
      <c r="E20" s="39">
        <v>1</v>
      </c>
      <c r="F20" s="39">
        <v>1.8</v>
      </c>
      <c r="G20" s="40">
        <v>162000</v>
      </c>
      <c r="H20" s="41">
        <v>291600</v>
      </c>
      <c r="I20" s="114" t="s">
        <v>90</v>
      </c>
      <c r="J20" s="114"/>
      <c r="L20" s="13"/>
    </row>
    <row r="21" spans="1:12" ht="25" customHeight="1">
      <c r="A21" s="36">
        <f>A20+1</f>
        <v>2</v>
      </c>
      <c r="B21" s="37" t="s">
        <v>41</v>
      </c>
      <c r="C21" s="38" t="s">
        <v>91</v>
      </c>
      <c r="D21" s="38" t="s">
        <v>92</v>
      </c>
      <c r="E21" s="39">
        <v>1</v>
      </c>
      <c r="F21" s="39"/>
      <c r="G21" s="40">
        <v>50000</v>
      </c>
      <c r="H21" s="41">
        <v>50000</v>
      </c>
      <c r="I21" s="114" t="s">
        <v>91</v>
      </c>
      <c r="J21" s="114"/>
      <c r="L21" s="13"/>
    </row>
    <row r="22" spans="1:12" ht="25" customHeight="1">
      <c r="A22" s="36">
        <f t="shared" ref="A22:A38" si="0">A21+1</f>
        <v>3</v>
      </c>
      <c r="B22" s="37" t="s">
        <v>43</v>
      </c>
      <c r="C22" s="38" t="s">
        <v>91</v>
      </c>
      <c r="D22" s="38" t="s">
        <v>92</v>
      </c>
      <c r="E22" s="39">
        <v>1</v>
      </c>
      <c r="F22" s="39"/>
      <c r="G22" s="40">
        <v>48000</v>
      </c>
      <c r="H22" s="41">
        <v>48000</v>
      </c>
      <c r="I22" s="114" t="s">
        <v>91</v>
      </c>
      <c r="J22" s="114"/>
      <c r="L22" s="13"/>
    </row>
    <row r="23" spans="1:12" ht="25" customHeight="1">
      <c r="A23" s="36">
        <f t="shared" si="0"/>
        <v>4</v>
      </c>
      <c r="B23" s="37"/>
      <c r="C23" s="38"/>
      <c r="D23" s="38"/>
      <c r="E23" s="39"/>
      <c r="F23" s="39"/>
      <c r="G23" s="40"/>
      <c r="H23" s="41"/>
      <c r="I23" s="114"/>
      <c r="J23" s="114"/>
      <c r="L23" s="13"/>
    </row>
    <row r="24" spans="1:12" ht="25" customHeight="1">
      <c r="A24" s="36">
        <f t="shared" si="0"/>
        <v>5</v>
      </c>
      <c r="B24" s="37"/>
      <c r="C24" s="38"/>
      <c r="D24" s="38"/>
      <c r="E24" s="39"/>
      <c r="F24" s="39"/>
      <c r="G24" s="40"/>
      <c r="H24" s="41"/>
      <c r="I24" s="114"/>
      <c r="J24" s="114"/>
      <c r="L24" s="13"/>
    </row>
    <row r="25" spans="1:12" ht="25" customHeight="1">
      <c r="A25" s="36">
        <f t="shared" si="0"/>
        <v>6</v>
      </c>
      <c r="B25" s="37"/>
      <c r="C25" s="38"/>
      <c r="D25" s="38"/>
      <c r="E25" s="39"/>
      <c r="F25" s="39"/>
      <c r="G25" s="40"/>
      <c r="H25" s="41"/>
      <c r="I25" s="114"/>
      <c r="J25" s="114"/>
      <c r="L25" s="13"/>
    </row>
    <row r="26" spans="1:12" ht="25" customHeight="1">
      <c r="A26" s="36">
        <f t="shared" si="0"/>
        <v>7</v>
      </c>
      <c r="B26" s="37"/>
      <c r="C26" s="38"/>
      <c r="D26" s="38"/>
      <c r="E26" s="39"/>
      <c r="F26" s="39"/>
      <c r="G26" s="40"/>
      <c r="H26" s="41"/>
      <c r="I26" s="114"/>
      <c r="J26" s="114"/>
      <c r="L26" s="13"/>
    </row>
    <row r="27" spans="1:12" ht="25" customHeight="1">
      <c r="A27" s="36">
        <f t="shared" si="0"/>
        <v>8</v>
      </c>
      <c r="B27" s="37"/>
      <c r="C27" s="38"/>
      <c r="D27" s="38"/>
      <c r="E27" s="39"/>
      <c r="F27" s="39"/>
      <c r="G27" s="40"/>
      <c r="H27" s="41"/>
      <c r="I27" s="114"/>
      <c r="J27" s="114"/>
      <c r="L27" s="13"/>
    </row>
    <row r="28" spans="1:12" ht="25" customHeight="1">
      <c r="A28" s="36">
        <f t="shared" si="0"/>
        <v>9</v>
      </c>
      <c r="B28" s="37"/>
      <c r="C28" s="38"/>
      <c r="D28" s="38"/>
      <c r="E28" s="39"/>
      <c r="F28" s="39"/>
      <c r="G28" s="40"/>
      <c r="H28" s="41"/>
      <c r="I28" s="114"/>
      <c r="J28" s="114"/>
      <c r="L28" s="13"/>
    </row>
    <row r="29" spans="1:12" ht="25" customHeight="1">
      <c r="A29" s="36">
        <f t="shared" si="0"/>
        <v>10</v>
      </c>
      <c r="B29" s="37"/>
      <c r="C29" s="38"/>
      <c r="D29" s="38"/>
      <c r="E29" s="39"/>
      <c r="F29" s="39"/>
      <c r="G29" s="40"/>
      <c r="H29" s="41"/>
      <c r="I29" s="114"/>
      <c r="J29" s="114"/>
      <c r="L29" s="13"/>
    </row>
    <row r="30" spans="1:12" ht="25" customHeight="1">
      <c r="A30" s="36">
        <f t="shared" si="0"/>
        <v>11</v>
      </c>
      <c r="B30" s="37"/>
      <c r="C30" s="38"/>
      <c r="D30" s="38"/>
      <c r="E30" s="39"/>
      <c r="F30" s="39"/>
      <c r="G30" s="40"/>
      <c r="H30" s="41"/>
      <c r="I30" s="114"/>
      <c r="J30" s="114"/>
      <c r="L30" s="13"/>
    </row>
    <row r="31" spans="1:12" ht="25" customHeight="1">
      <c r="A31" s="36">
        <f t="shared" si="0"/>
        <v>12</v>
      </c>
      <c r="B31" s="37"/>
      <c r="C31" s="38"/>
      <c r="D31" s="38"/>
      <c r="E31" s="39"/>
      <c r="F31" s="39"/>
      <c r="G31" s="40"/>
      <c r="H31" s="41"/>
      <c r="I31" s="114"/>
      <c r="J31" s="114"/>
      <c r="L31" s="13"/>
    </row>
    <row r="32" spans="1:12" ht="25" customHeight="1">
      <c r="A32" s="36">
        <f t="shared" si="0"/>
        <v>13</v>
      </c>
      <c r="B32" s="37"/>
      <c r="C32" s="38"/>
      <c r="D32" s="38"/>
      <c r="E32" s="39"/>
      <c r="F32" s="39"/>
      <c r="G32" s="40"/>
      <c r="H32" s="41"/>
      <c r="I32" s="114"/>
      <c r="J32" s="114"/>
      <c r="L32" s="13"/>
    </row>
    <row r="33" spans="1:12" ht="25" customHeight="1">
      <c r="A33" s="36">
        <f t="shared" si="0"/>
        <v>14</v>
      </c>
      <c r="B33" s="37"/>
      <c r="C33" s="38"/>
      <c r="D33" s="38"/>
      <c r="E33" s="39"/>
      <c r="F33" s="39"/>
      <c r="G33" s="40"/>
      <c r="H33" s="41"/>
      <c r="I33" s="114"/>
      <c r="J33" s="114"/>
      <c r="L33" s="13"/>
    </row>
    <row r="34" spans="1:12" ht="25" customHeight="1">
      <c r="A34" s="36">
        <f t="shared" si="0"/>
        <v>15</v>
      </c>
      <c r="B34" s="37"/>
      <c r="C34" s="38"/>
      <c r="D34" s="38"/>
      <c r="E34" s="39"/>
      <c r="F34" s="39"/>
      <c r="G34" s="40"/>
      <c r="H34" s="41"/>
      <c r="I34" s="114"/>
      <c r="J34" s="114"/>
      <c r="L34" s="13"/>
    </row>
    <row r="35" spans="1:12" ht="25" customHeight="1">
      <c r="A35" s="36">
        <f t="shared" si="0"/>
        <v>16</v>
      </c>
      <c r="B35" s="37"/>
      <c r="C35" s="38"/>
      <c r="D35" s="38"/>
      <c r="E35" s="39"/>
      <c r="F35" s="39"/>
      <c r="G35" s="40"/>
      <c r="H35" s="41"/>
      <c r="I35" s="114"/>
      <c r="J35" s="114"/>
      <c r="L35" s="13"/>
    </row>
    <row r="36" spans="1:12" ht="25" customHeight="1">
      <c r="A36" s="36">
        <f t="shared" si="0"/>
        <v>17</v>
      </c>
      <c r="B36" s="37"/>
      <c r="C36" s="38"/>
      <c r="D36" s="38"/>
      <c r="E36" s="39"/>
      <c r="F36" s="39"/>
      <c r="G36" s="40"/>
      <c r="H36" s="41"/>
      <c r="I36" s="114"/>
      <c r="J36" s="114"/>
      <c r="L36" s="13"/>
    </row>
    <row r="37" spans="1:12" ht="25" customHeight="1">
      <c r="A37" s="36">
        <f t="shared" si="0"/>
        <v>18</v>
      </c>
      <c r="B37" s="38" t="s">
        <v>93</v>
      </c>
      <c r="C37" s="38"/>
      <c r="D37" s="38"/>
      <c r="E37" s="39">
        <v>1</v>
      </c>
      <c r="F37" s="39"/>
      <c r="G37" s="40"/>
      <c r="H37" s="41">
        <f>E37*G37</f>
        <v>0</v>
      </c>
      <c r="I37" s="114"/>
      <c r="J37" s="114"/>
      <c r="L37" s="13"/>
    </row>
    <row r="38" spans="1:12" ht="25" customHeight="1">
      <c r="A38" s="36">
        <f t="shared" si="0"/>
        <v>19</v>
      </c>
      <c r="B38" s="38" t="s">
        <v>94</v>
      </c>
      <c r="C38" s="42"/>
      <c r="D38" s="42"/>
      <c r="E38" s="39"/>
      <c r="F38" s="39"/>
      <c r="G38" s="43"/>
      <c r="H38" s="44">
        <f>SUM(H20:H37)</f>
        <v>389600</v>
      </c>
      <c r="I38" s="114"/>
      <c r="J38" s="114"/>
      <c r="L38" s="13"/>
    </row>
    <row r="39" spans="1:12" ht="24" customHeight="1">
      <c r="A39" s="115" t="s">
        <v>18</v>
      </c>
      <c r="B39" s="115"/>
      <c r="C39" s="115"/>
      <c r="D39" s="115"/>
      <c r="E39" s="115"/>
      <c r="F39" s="115"/>
      <c r="G39" s="115"/>
      <c r="H39" s="115"/>
      <c r="I39" s="115"/>
      <c r="J39" s="115"/>
      <c r="L39" s="13"/>
    </row>
    <row r="40" spans="1:12" ht="24" customHeight="1">
      <c r="A40" s="116" t="s">
        <v>95</v>
      </c>
      <c r="B40" s="116"/>
      <c r="C40" s="116"/>
      <c r="D40" s="116"/>
      <c r="E40" s="116"/>
      <c r="F40" s="116"/>
      <c r="G40" s="116"/>
      <c r="H40" s="116"/>
      <c r="I40" s="116"/>
      <c r="J40" s="116"/>
      <c r="L40" s="13"/>
    </row>
    <row r="41" spans="1:12" ht="25.25" customHeight="1">
      <c r="A41" s="116" t="s">
        <v>96</v>
      </c>
      <c r="B41" s="116"/>
      <c r="C41" s="116"/>
      <c r="D41" s="116"/>
      <c r="E41" s="116"/>
      <c r="F41" s="116"/>
      <c r="G41" s="116"/>
      <c r="H41" s="116"/>
      <c r="I41" s="116"/>
      <c r="J41" s="116"/>
      <c r="L41" s="13"/>
    </row>
    <row r="42" spans="1:12" ht="25.25" customHeight="1">
      <c r="A42" s="117" t="s">
        <v>97</v>
      </c>
      <c r="B42" s="117"/>
      <c r="C42" s="117"/>
      <c r="D42" s="117"/>
      <c r="E42" s="117"/>
      <c r="F42" s="117"/>
      <c r="G42" s="117"/>
      <c r="H42" s="117"/>
      <c r="I42" s="117"/>
      <c r="J42" s="117"/>
      <c r="L42" s="13"/>
    </row>
    <row r="43" spans="1:12" ht="25.25" customHeight="1">
      <c r="A43" s="117" t="s">
        <v>98</v>
      </c>
      <c r="B43" s="117"/>
      <c r="C43" s="117"/>
      <c r="D43" s="117"/>
      <c r="E43" s="117"/>
      <c r="F43" s="117"/>
      <c r="G43" s="117"/>
      <c r="H43" s="117"/>
      <c r="I43" s="117"/>
      <c r="J43" s="117"/>
      <c r="L43" s="13"/>
    </row>
    <row r="44" spans="1:12" ht="25.25" customHeight="1">
      <c r="A44" s="118" t="s">
        <v>99</v>
      </c>
      <c r="B44" s="118"/>
      <c r="C44" s="118"/>
      <c r="D44" s="118"/>
      <c r="E44" s="118"/>
      <c r="F44" s="118"/>
      <c r="G44" s="118"/>
      <c r="H44" s="118"/>
      <c r="I44" s="118"/>
      <c r="J44" s="118"/>
      <c r="L44" s="13"/>
    </row>
    <row r="45" spans="1:12" ht="25.25" customHeight="1">
      <c r="L45" s="13"/>
    </row>
  </sheetData>
  <mergeCells count="42">
    <mergeCell ref="A44:J44"/>
    <mergeCell ref="A39:J39"/>
    <mergeCell ref="A40:J40"/>
    <mergeCell ref="A41:J41"/>
    <mergeCell ref="A42:J42"/>
    <mergeCell ref="A43:J43"/>
    <mergeCell ref="I34:J34"/>
    <mergeCell ref="I35:J35"/>
    <mergeCell ref="I36:J36"/>
    <mergeCell ref="I37:J37"/>
    <mergeCell ref="I38:J38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C12:F12"/>
    <mergeCell ref="H12:I12"/>
    <mergeCell ref="C13:F13"/>
    <mergeCell ref="H13:I13"/>
    <mergeCell ref="I18:J18"/>
    <mergeCell ref="A8:J8"/>
    <mergeCell ref="B9:E10"/>
    <mergeCell ref="H9:I10"/>
    <mergeCell ref="F9:F10"/>
    <mergeCell ref="C11:F11"/>
    <mergeCell ref="H11:I11"/>
    <mergeCell ref="A2:J2"/>
    <mergeCell ref="A4:J4"/>
    <mergeCell ref="A5:J5"/>
    <mergeCell ref="A6:J6"/>
    <mergeCell ref="A7:J7"/>
  </mergeCells>
  <phoneticPr fontId="6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4" fitToHeight="0" orientation="portrait" useFirstPageNumber="1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J35"/>
  <sheetViews>
    <sheetView tabSelected="1" view="pageBreakPreview" zoomScale="70" zoomScaleNormal="70" workbookViewId="0">
      <selection activeCell="R28" sqref="R28"/>
    </sheetView>
  </sheetViews>
  <sheetFormatPr baseColWidth="10" defaultColWidth="8.83203125" defaultRowHeight="16.5" customHeight="1"/>
  <cols>
    <col min="1" max="1" width="5.83203125" customWidth="1"/>
    <col min="2" max="2" width="18.6640625" customWidth="1"/>
    <col min="3" max="3" width="19" customWidth="1"/>
    <col min="4" max="4" width="9.1640625" customWidth="1"/>
    <col min="5" max="5" width="10.33203125" customWidth="1"/>
    <col min="6" max="6" width="13.33203125" customWidth="1"/>
    <col min="7" max="7" width="29.5" customWidth="1"/>
    <col min="8" max="8" width="11.1640625" customWidth="1"/>
    <col min="10" max="10" width="13.1640625" customWidth="1"/>
    <col min="11" max="11" width="32.1640625" customWidth="1"/>
    <col min="13" max="13" width="14.1640625" customWidth="1"/>
    <col min="14" max="14" width="36" customWidth="1"/>
  </cols>
  <sheetData>
    <row r="1" spans="1:10" ht="17" customHeight="1">
      <c r="A1" s="102"/>
      <c r="B1" s="102"/>
      <c r="C1" s="102"/>
      <c r="D1" s="102"/>
      <c r="E1" s="102"/>
      <c r="F1" s="102"/>
      <c r="G1" s="102"/>
      <c r="H1" s="102"/>
    </row>
    <row r="2" spans="1:10" ht="20.25" customHeight="1">
      <c r="A2" s="121" t="s">
        <v>101</v>
      </c>
      <c r="B2" s="121"/>
      <c r="C2" s="121"/>
      <c r="D2" s="121"/>
      <c r="E2" s="121"/>
      <c r="F2" s="121"/>
      <c r="G2" s="121"/>
      <c r="H2" s="121"/>
    </row>
    <row r="3" spans="1:10" ht="18.75" customHeight="1">
      <c r="A3" s="122"/>
      <c r="B3" s="122"/>
      <c r="C3" s="122"/>
      <c r="D3" s="122"/>
      <c r="E3" s="122"/>
      <c r="F3" s="122"/>
      <c r="G3" s="122"/>
      <c r="H3" s="122"/>
    </row>
    <row r="4" spans="1:10" ht="27" customHeight="1">
      <c r="A4" s="123" t="s">
        <v>102</v>
      </c>
      <c r="B4" s="123"/>
      <c r="C4" s="123"/>
      <c r="D4" s="123"/>
      <c r="E4" s="123"/>
      <c r="F4" s="123"/>
      <c r="G4" s="123"/>
      <c r="H4" s="123"/>
    </row>
    <row r="5" spans="1:10" ht="27" customHeight="1">
      <c r="A5" s="124" t="s">
        <v>103</v>
      </c>
      <c r="B5" s="124"/>
      <c r="C5" s="124"/>
      <c r="D5" s="124"/>
      <c r="E5" s="124"/>
      <c r="F5" s="124"/>
      <c r="G5" s="124"/>
      <c r="H5" s="124"/>
    </row>
    <row r="6" spans="1:10" ht="27" customHeight="1">
      <c r="A6" s="50"/>
      <c r="B6" s="51" t="s">
        <v>77</v>
      </c>
      <c r="C6" s="52">
        <f>SUMIF($B$17:$B$38,B6,$E$17:$E$38)</f>
        <v>0</v>
      </c>
      <c r="D6" s="125"/>
      <c r="E6" s="125"/>
      <c r="F6" s="125"/>
      <c r="G6" s="53" t="s">
        <v>78</v>
      </c>
      <c r="H6" s="52">
        <f>SUMIF($B$17:$B$38,G6,$E$17:$E$38)</f>
        <v>0</v>
      </c>
      <c r="I6" s="54"/>
    </row>
    <row r="7" spans="1:10" ht="27" customHeight="1">
      <c r="G7" s="55"/>
      <c r="H7" s="56"/>
    </row>
    <row r="8" spans="1:10" ht="27" customHeight="1">
      <c r="B8" s="57" t="s">
        <v>104</v>
      </c>
      <c r="C8" s="126" t="s">
        <v>68</v>
      </c>
      <c r="D8" s="126"/>
      <c r="F8" s="58" t="s">
        <v>105</v>
      </c>
      <c r="G8" s="127" t="str">
        <f>'1.발주접수'!$C$5</f>
        <v>피앤지</v>
      </c>
      <c r="H8" s="127"/>
    </row>
    <row r="9" spans="1:10" ht="27.75" customHeight="1">
      <c r="B9" s="57" t="s">
        <v>106</v>
      </c>
      <c r="C9" s="107" t="str">
        <f>TEXT(C10,"yyyy-mm-dd")</f>
        <v>2026-05-19</v>
      </c>
      <c r="D9" s="107"/>
      <c r="E9" s="59"/>
      <c r="F9" s="60" t="s">
        <v>107</v>
      </c>
      <c r="G9" s="128" t="str">
        <f>'1.발주접수'!$C$10</f>
        <v>주소</v>
      </c>
      <c r="H9" s="128"/>
    </row>
    <row r="10" spans="1:10" ht="24" customHeight="1">
      <c r="B10" s="57" t="s">
        <v>108</v>
      </c>
      <c r="C10" s="129">
        <f>'1.발주접수'!$C$6</f>
        <v>46161</v>
      </c>
      <c r="D10" s="129"/>
      <c r="E10" s="61"/>
      <c r="F10" s="58" t="s">
        <v>9</v>
      </c>
      <c r="G10" s="130" t="str">
        <f>'1.발주접수'!$C$9</f>
        <v>납품장소</v>
      </c>
      <c r="H10" s="130"/>
      <c r="I10" s="62"/>
    </row>
    <row r="11" spans="1:10" ht="24" customHeight="1">
      <c r="B11" s="57" t="s">
        <v>109</v>
      </c>
      <c r="C11" s="129">
        <f>'1.발주접수'!$C$7</f>
        <v>46163</v>
      </c>
      <c r="D11" s="129"/>
      <c r="E11" s="61"/>
      <c r="F11" s="133" t="s">
        <v>12</v>
      </c>
      <c r="G11" s="131" t="str">
        <f>'1.발주접수'!$C$11</f>
        <v>인수자</v>
      </c>
      <c r="H11" s="131"/>
      <c r="I11" s="62"/>
    </row>
    <row r="12" spans="1:10" ht="24" customHeight="1">
      <c r="B12" s="57" t="s">
        <v>110</v>
      </c>
      <c r="C12" s="132" t="str">
        <f>'1.발주접수'!$C$8</f>
        <v>현장명</v>
      </c>
      <c r="D12" s="132"/>
      <c r="E12" s="61"/>
      <c r="F12" s="133"/>
      <c r="G12" s="131" t="str">
        <f>'1.발주접수'!$C$12</f>
        <v>010-1111-1111</v>
      </c>
      <c r="H12" s="131"/>
      <c r="I12" s="15"/>
    </row>
    <row r="13" spans="1:10" ht="24" customHeight="1">
      <c r="B13" s="63"/>
      <c r="C13" s="23"/>
      <c r="E13" s="61"/>
      <c r="F13" s="61"/>
      <c r="G13" s="64"/>
      <c r="H13" s="64"/>
      <c r="I13" s="15"/>
    </row>
    <row r="14" spans="1:10" ht="24" customHeight="1">
      <c r="A14" s="134" t="s">
        <v>111</v>
      </c>
      <c r="B14" s="134"/>
      <c r="C14" s="134"/>
      <c r="D14" s="134"/>
      <c r="E14" s="134"/>
      <c r="F14" s="134"/>
      <c r="G14" s="134"/>
      <c r="H14" s="134"/>
      <c r="I14" s="15"/>
    </row>
    <row r="15" spans="1:10" ht="24" customHeight="1">
      <c r="A15" s="134"/>
      <c r="B15" s="134"/>
      <c r="C15" s="134"/>
      <c r="D15" s="134"/>
      <c r="E15" s="134"/>
      <c r="F15" s="134"/>
      <c r="G15" s="134"/>
      <c r="H15" s="134"/>
      <c r="I15" s="15"/>
    </row>
    <row r="16" spans="1:10" ht="24" customHeight="1">
      <c r="A16" s="65" t="s">
        <v>81</v>
      </c>
      <c r="B16" s="65" t="s">
        <v>82</v>
      </c>
      <c r="C16" s="65" t="s">
        <v>83</v>
      </c>
      <c r="D16" s="65" t="s">
        <v>84</v>
      </c>
      <c r="E16" s="65" t="s">
        <v>28</v>
      </c>
      <c r="F16" s="65" t="s">
        <v>85</v>
      </c>
      <c r="G16" s="135" t="s">
        <v>16</v>
      </c>
      <c r="H16" s="135"/>
      <c r="I16" s="135"/>
      <c r="J16" s="15"/>
    </row>
    <row r="17" spans="1:10" ht="20" customHeight="1">
      <c r="A17" s="66">
        <v>1</v>
      </c>
      <c r="B17" s="67"/>
      <c r="C17" s="67"/>
      <c r="D17" s="66"/>
      <c r="E17" s="68"/>
      <c r="F17" s="69"/>
      <c r="G17" s="136"/>
      <c r="H17" s="136"/>
      <c r="I17" s="136"/>
      <c r="J17" s="15"/>
    </row>
    <row r="18" spans="1:10" ht="20" customHeight="1">
      <c r="A18" s="66">
        <f>A17+1</f>
        <v>2</v>
      </c>
      <c r="B18" s="67"/>
      <c r="C18" s="67"/>
      <c r="D18" s="66"/>
      <c r="E18" s="68"/>
      <c r="F18" s="69"/>
      <c r="G18" s="136"/>
      <c r="H18" s="136"/>
      <c r="I18" s="136"/>
      <c r="J18" s="15"/>
    </row>
    <row r="19" spans="1:10" ht="20" customHeight="1">
      <c r="A19" s="66">
        <f t="shared" ref="A19:A35" si="0">A18+1</f>
        <v>3</v>
      </c>
      <c r="B19" s="67"/>
      <c r="C19" s="67"/>
      <c r="D19" s="66"/>
      <c r="E19" s="68"/>
      <c r="F19" s="69"/>
      <c r="G19" s="136"/>
      <c r="H19" s="136"/>
      <c r="I19" s="136"/>
      <c r="J19" s="15"/>
    </row>
    <row r="20" spans="1:10" ht="20" customHeight="1">
      <c r="A20" s="66">
        <f t="shared" si="0"/>
        <v>4</v>
      </c>
      <c r="B20" s="67"/>
      <c r="C20" s="67"/>
      <c r="D20" s="66"/>
      <c r="E20" s="68"/>
      <c r="F20" s="69"/>
      <c r="G20" s="136"/>
      <c r="H20" s="136"/>
      <c r="I20" s="136"/>
      <c r="J20" s="15"/>
    </row>
    <row r="21" spans="1:10" ht="20" customHeight="1">
      <c r="A21" s="66">
        <f t="shared" si="0"/>
        <v>5</v>
      </c>
      <c r="B21" s="67"/>
      <c r="C21" s="67"/>
      <c r="D21" s="66"/>
      <c r="E21" s="68"/>
      <c r="F21" s="69"/>
      <c r="G21" s="136"/>
      <c r="H21" s="136"/>
      <c r="I21" s="136"/>
      <c r="J21" s="15"/>
    </row>
    <row r="22" spans="1:10" ht="20" customHeight="1">
      <c r="A22" s="66">
        <f t="shared" si="0"/>
        <v>6</v>
      </c>
      <c r="B22" s="67"/>
      <c r="C22" s="67"/>
      <c r="D22" s="66"/>
      <c r="E22" s="68"/>
      <c r="F22" s="69"/>
      <c r="G22" s="136"/>
      <c r="H22" s="136"/>
      <c r="I22" s="136"/>
      <c r="J22" s="15"/>
    </row>
    <row r="23" spans="1:10" ht="20" customHeight="1">
      <c r="A23" s="66">
        <f t="shared" si="0"/>
        <v>7</v>
      </c>
      <c r="B23" s="67"/>
      <c r="C23" s="67"/>
      <c r="D23" s="66"/>
      <c r="E23" s="68"/>
      <c r="F23" s="69"/>
      <c r="G23" s="136"/>
      <c r="H23" s="136"/>
      <c r="I23" s="136"/>
      <c r="J23" s="15"/>
    </row>
    <row r="24" spans="1:10" ht="20" customHeight="1">
      <c r="A24" s="66">
        <f t="shared" si="0"/>
        <v>8</v>
      </c>
      <c r="B24" s="67"/>
      <c r="C24" s="67"/>
      <c r="D24" s="66"/>
      <c r="E24" s="68"/>
      <c r="F24" s="69"/>
      <c r="G24" s="136"/>
      <c r="H24" s="136"/>
      <c r="I24" s="136"/>
      <c r="J24" s="15"/>
    </row>
    <row r="25" spans="1:10" ht="20" customHeight="1">
      <c r="A25" s="66">
        <f t="shared" si="0"/>
        <v>9</v>
      </c>
      <c r="B25" s="67"/>
      <c r="C25" s="67"/>
      <c r="D25" s="66"/>
      <c r="E25" s="68"/>
      <c r="F25" s="69"/>
      <c r="G25" s="136"/>
      <c r="H25" s="136"/>
      <c r="I25" s="136"/>
      <c r="J25" s="15"/>
    </row>
    <row r="26" spans="1:10" ht="20" customHeight="1">
      <c r="A26" s="66">
        <f t="shared" si="0"/>
        <v>10</v>
      </c>
      <c r="B26" s="67"/>
      <c r="C26" s="67"/>
      <c r="D26" s="66"/>
      <c r="E26" s="68"/>
      <c r="F26" s="70"/>
      <c r="G26" s="136"/>
      <c r="H26" s="136"/>
      <c r="I26" s="136"/>
      <c r="J26" s="15"/>
    </row>
    <row r="27" spans="1:10" ht="20" customHeight="1">
      <c r="A27" s="66">
        <f t="shared" si="0"/>
        <v>11</v>
      </c>
      <c r="B27" s="67"/>
      <c r="C27" s="67"/>
      <c r="D27" s="66"/>
      <c r="E27" s="68"/>
      <c r="F27" s="71"/>
      <c r="G27" s="136"/>
      <c r="H27" s="136"/>
      <c r="I27" s="136"/>
    </row>
    <row r="28" spans="1:10" ht="20" customHeight="1">
      <c r="A28" s="66">
        <f t="shared" si="0"/>
        <v>12</v>
      </c>
      <c r="B28" s="67"/>
      <c r="C28" s="67"/>
      <c r="D28" s="66"/>
      <c r="E28" s="68"/>
      <c r="F28" s="71"/>
      <c r="G28" s="136"/>
      <c r="H28" s="136"/>
      <c r="I28" s="136"/>
    </row>
    <row r="29" spans="1:10" ht="20" customHeight="1">
      <c r="A29" s="66">
        <f t="shared" si="0"/>
        <v>13</v>
      </c>
      <c r="B29" s="67"/>
      <c r="C29" s="67"/>
      <c r="D29" s="66"/>
      <c r="E29" s="68"/>
      <c r="F29" s="69"/>
      <c r="G29" s="136"/>
      <c r="H29" s="136"/>
      <c r="I29" s="136"/>
    </row>
    <row r="30" spans="1:10" ht="20" customHeight="1">
      <c r="A30" s="66">
        <f t="shared" si="0"/>
        <v>14</v>
      </c>
      <c r="B30" s="67"/>
      <c r="C30" s="67"/>
      <c r="D30" s="66"/>
      <c r="E30" s="68"/>
      <c r="F30" s="69"/>
      <c r="G30" s="136"/>
      <c r="H30" s="136"/>
      <c r="I30" s="136"/>
    </row>
    <row r="31" spans="1:10" ht="20" customHeight="1">
      <c r="A31" s="66">
        <f t="shared" si="0"/>
        <v>15</v>
      </c>
      <c r="B31" s="67"/>
      <c r="C31" s="67"/>
      <c r="D31" s="66"/>
      <c r="E31" s="68"/>
      <c r="F31" s="69"/>
      <c r="G31" s="136"/>
      <c r="H31" s="136"/>
      <c r="I31" s="136"/>
    </row>
    <row r="32" spans="1:10" ht="20" customHeight="1">
      <c r="A32" s="66">
        <f t="shared" si="0"/>
        <v>16</v>
      </c>
      <c r="B32" s="67"/>
      <c r="C32" s="67"/>
      <c r="D32" s="66"/>
      <c r="E32" s="68"/>
      <c r="F32" s="42"/>
      <c r="G32" s="136"/>
      <c r="H32" s="136"/>
      <c r="I32" s="136"/>
    </row>
    <row r="33" spans="1:9" ht="20" customHeight="1">
      <c r="A33" s="66">
        <f t="shared" si="0"/>
        <v>17</v>
      </c>
      <c r="B33" s="67"/>
      <c r="C33" s="67"/>
      <c r="D33" s="66"/>
      <c r="E33" s="68"/>
      <c r="F33" s="42"/>
      <c r="G33" s="136"/>
      <c r="H33" s="136"/>
      <c r="I33" s="136"/>
    </row>
    <row r="34" spans="1:9" ht="20" customHeight="1">
      <c r="A34" s="66">
        <f t="shared" si="0"/>
        <v>18</v>
      </c>
      <c r="B34" s="67"/>
      <c r="C34" s="67"/>
      <c r="D34" s="66"/>
      <c r="E34" s="68"/>
      <c r="F34" s="42"/>
      <c r="G34" s="136"/>
      <c r="H34" s="136"/>
      <c r="I34" s="136"/>
    </row>
    <row r="35" spans="1:9" ht="20" customHeight="1">
      <c r="A35" s="66">
        <f t="shared" si="0"/>
        <v>19</v>
      </c>
      <c r="B35" s="42"/>
      <c r="C35" s="42"/>
      <c r="D35" s="42"/>
      <c r="E35" s="42"/>
      <c r="F35" s="42"/>
      <c r="G35" s="136"/>
      <c r="H35" s="136"/>
      <c r="I35" s="136"/>
    </row>
  </sheetData>
  <mergeCells count="38">
    <mergeCell ref="G35:I35"/>
    <mergeCell ref="G30:I30"/>
    <mergeCell ref="G31:I31"/>
    <mergeCell ref="G32:I32"/>
    <mergeCell ref="G33:I33"/>
    <mergeCell ref="G34:I34"/>
    <mergeCell ref="G25:I25"/>
    <mergeCell ref="G26:I26"/>
    <mergeCell ref="G27:I27"/>
    <mergeCell ref="G28:I28"/>
    <mergeCell ref="G29:I29"/>
    <mergeCell ref="G20:I20"/>
    <mergeCell ref="G21:I21"/>
    <mergeCell ref="G22:I22"/>
    <mergeCell ref="G23:I23"/>
    <mergeCell ref="G24:I24"/>
    <mergeCell ref="A14:H15"/>
    <mergeCell ref="G16:I16"/>
    <mergeCell ref="G17:I17"/>
    <mergeCell ref="G18:I18"/>
    <mergeCell ref="G19:I19"/>
    <mergeCell ref="C10:D10"/>
    <mergeCell ref="G10:H10"/>
    <mergeCell ref="C11:D11"/>
    <mergeCell ref="G11:H11"/>
    <mergeCell ref="C12:D12"/>
    <mergeCell ref="F11:F12"/>
    <mergeCell ref="G12:H12"/>
    <mergeCell ref="D6:F6"/>
    <mergeCell ref="C8:D8"/>
    <mergeCell ref="G8:H8"/>
    <mergeCell ref="C9:D9"/>
    <mergeCell ref="G9:H9"/>
    <mergeCell ref="A1:H1"/>
    <mergeCell ref="A2:H2"/>
    <mergeCell ref="A3:H3"/>
    <mergeCell ref="A4:H4"/>
    <mergeCell ref="A5:H5"/>
  </mergeCells>
  <phoneticPr fontId="6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5" fitToHeight="0" orientation="portrait" useFirstPageNumber="1" horizontalDpi="4294967295" verticalDpi="4294967295"/>
  <headerFooter>
    <oddHeader>&amp;R&amp;N/&amp;P</oddHeader>
    <oddFooter>&amp;L&amp;A&amp;R&amp;F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1.발주접수</vt:lpstr>
      <vt:lpstr>2-1.차열재 계산식</vt:lpstr>
      <vt:lpstr>2-2.적용단가 계산식</vt:lpstr>
      <vt:lpstr>3.견적서</vt:lpstr>
      <vt:lpstr>4.거래명세서</vt:lpstr>
      <vt:lpstr>5.발주서 </vt:lpstr>
      <vt:lpstr>'1.발주접수'!Print_Area</vt:lpstr>
      <vt:lpstr>'3.견적서'!Print_Area</vt:lpstr>
      <vt:lpstr>'4.거래명세서'!Print_Area</vt:lpstr>
      <vt:lpstr>'5.발주서 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2026-03-31T02:49:48Z</cp:lastPrinted>
  <dcterms:created xsi:type="dcterms:W3CDTF">2023-08-11T01:12:22Z</dcterms:created>
  <dcterms:modified xsi:type="dcterms:W3CDTF">2026-07-13T13:34:12Z</dcterms:modified>
  <cp:category/>
  <cp:contentStatus/>
</cp:coreProperties>
</file>