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profi\projects\topdignus\"/>
    </mc:Choice>
  </mc:AlternateContent>
  <xr:revisionPtr revIDLastSave="0" documentId="13_ncr:1_{6B9D2872-3A6E-41C4-A7B0-340A04DC0285}" xr6:coauthVersionLast="47" xr6:coauthVersionMax="47" xr10:uidLastSave="{00000000-0000-0000-0000-000000000000}"/>
  <bookViews>
    <workbookView xWindow="-120" yWindow="-120" windowWidth="29040" windowHeight="15720" firstSheet="1" activeTab="6" xr2:uid="{953E9C50-E039-4783-ADFB-CA6A3BE48BDB}"/>
  </bookViews>
  <sheets>
    <sheet name="단가표" sheetId="26" r:id="rId1"/>
    <sheet name="1.발주접수" sheetId="4" r:id="rId2"/>
    <sheet name="2.고정구단가산출" sheetId="27" r:id="rId3"/>
    <sheet name="2-1.고정구단가산출&lt;출력용&gt;" sheetId="31" r:id="rId4"/>
    <sheet name="3.견적서" sheetId="15" r:id="rId5"/>
    <sheet name="4.거래명세서" sheetId="2" r:id="rId6"/>
    <sheet name="5.발주서 " sheetId="5" r:id="rId7"/>
  </sheets>
  <definedNames>
    <definedName name="D_100">단가표!$D$263:$D$265</definedName>
    <definedName name="D_75">단가표!$D$266:$D$267</definedName>
    <definedName name="_xlnm.Print_Area" localSheetId="1">'1.발주접수'!$B$4:$G$14</definedName>
    <definedName name="_xlnm.Print_Area" localSheetId="4">'3.견적서'!$A$1:$I$59</definedName>
    <definedName name="_xlnm.Print_Area" localSheetId="5">'4.거래명세서'!$A$1:$I$26</definedName>
    <definedName name="_xlnm.Print_Area" localSheetId="6">'5.발주서 '!$A$1:$H$33</definedName>
    <definedName name="_xlnm.Print_Titles" localSheetId="3">'2-1.고정구단가산출&lt;출력용&gt;'!$1:$6</definedName>
    <definedName name="관통슬리브">단가표!#REF!</definedName>
    <definedName name="벽체_PVC">단가표!$C$234:$C$254</definedName>
    <definedName name="벽체_PVC_100A">단가표!$D$251:$D$252</definedName>
    <definedName name="벽체_PVC_125A">단가표!$D$253</definedName>
    <definedName name="벽체_PVC_150A">단가표!$D$254</definedName>
    <definedName name="벽체_PVC_25A">단가표!$D$234</definedName>
    <definedName name="벽체_PVC_30A">단가표!$D$235:$D$236</definedName>
    <definedName name="벽체_PVC_35A">단가표!$D$237:$D$239</definedName>
    <definedName name="벽체_PVC_40A">단가표!$D$240:$D$241</definedName>
    <definedName name="벽체_PVC_50A">단가표!$D$242:$D$244</definedName>
    <definedName name="벽체_PVC_65A">단가표!$D$245:$D$247</definedName>
    <definedName name="벽체_PVC_75A">단가표!$D$248:$D$250</definedName>
    <definedName name="벽체_SU">단가표!$C$165:$C$195</definedName>
    <definedName name="벽체_SU_100A">단가표!$D$194:$D$195</definedName>
    <definedName name="벽체_SU_20A">단가표!$D$165:$D$166</definedName>
    <definedName name="벽체_SU_25A">단가표!$D$167:$D$169</definedName>
    <definedName name="벽체_SU_30A">단가표!$D$170:$D$173</definedName>
    <definedName name="벽체_SU_40A">단가표!$D$174:$D$177</definedName>
    <definedName name="벽체_SU_50A">단가표!$D$178:$D$180</definedName>
    <definedName name="벽체_SU_60A">단가표!$D$181:$D$184</definedName>
    <definedName name="벽체_SU_75A">단가표!$D$185:$D$189</definedName>
    <definedName name="벽체_SU_80A">단가표!$D$190:$D$193</definedName>
    <definedName name="벽체_강관">단가표!$C$196:$C$233</definedName>
    <definedName name="벽체_강관_100A">단가표!$D$225:$D$227</definedName>
    <definedName name="벽체_강관_125A">단가표!$D$228:$D$229</definedName>
    <definedName name="벽체_강관_150A">단가표!$D$230:$D$231</definedName>
    <definedName name="벽체_강관_15A">단가표!$D$196:$D$197</definedName>
    <definedName name="벽체_강관_200A">단가표!$D$232:$D$233</definedName>
    <definedName name="벽체_강관_20A">단가표!$D$198:$D$200</definedName>
    <definedName name="벽체_강관_25A">단가표!$D$201:$D$204</definedName>
    <definedName name="벽체_강관_32A">단가표!$D$205:$D$208</definedName>
    <definedName name="벽체_강관_40A">단가표!$D$209:$D$211</definedName>
    <definedName name="벽체_강관_50A">단가표!$D$212:$D$215</definedName>
    <definedName name="벽체_강관_65A">단가표!$D$216:$D$220</definedName>
    <definedName name="벽체_강관_80A">단가표!$D$221:$D$224</definedName>
    <definedName name="연장관">단가표!#REF!</definedName>
    <definedName name="오배수_섹스티아">단가표!$C$263:$C$267</definedName>
    <definedName name="원형댐퍼">단가표!$C$357:$C$364</definedName>
    <definedName name="원형덕트">단가표!$C$357:$C$364</definedName>
    <definedName name="입상_PVC_고정구_일체형">단가표!$C$162:$C$164</definedName>
    <definedName name="입상_PVC_고정구_일체형_100A">단가표!$D$164</definedName>
    <definedName name="입상_PVC_고정구_일체형_50A">단가표!$D$162:$D$162</definedName>
    <definedName name="입상_PVC_고정구_일체형_75A">단가표!$D$163</definedName>
    <definedName name="입상_PVC_고정구_일체형_ABS">단가표!$C$162:$C$164</definedName>
    <definedName name="입상_PVC_고정틀">단가표!$C$144:$C$152</definedName>
    <definedName name="입상_PVC_고정틀_100A">단가표!$D$148:$D$150</definedName>
    <definedName name="입상_PVC_고정틀_125A">단가표!$D$151</definedName>
    <definedName name="입상_PVC_고정틀_150A">단가표!$D$152</definedName>
    <definedName name="입상_PVC_고정틀_50A">단가표!$D$144:$D$145</definedName>
    <definedName name="입상_PVC_고정틀_75A">단가표!$D$146:$D$147</definedName>
    <definedName name="입상_PVC_충진재">단가표!$C$153:$C$161</definedName>
    <definedName name="입상_PVC_충진재_100A">단가표!$D$158:$D$159</definedName>
    <definedName name="입상_PVC_충진재_125A">단가표!$D$160</definedName>
    <definedName name="입상_PVC_충진재_150A">단가표!$D$161</definedName>
    <definedName name="입상_PVC_충진재_50A">단가표!$D$153:$D$154</definedName>
    <definedName name="입상_PVC_충진재_65A">단가표!$D$155</definedName>
    <definedName name="입상_PVC_충진재_75A">단가표!$D$156:$D$157</definedName>
    <definedName name="입상_SU_고정구_일체형">단가표!$C$54:$C$68</definedName>
    <definedName name="입상_SU_고정구_일체형_20A">단가표!$D$54:$D$55</definedName>
    <definedName name="입상_SU_고정구_일체형_25A">단가표!$D$56:$D$57</definedName>
    <definedName name="입상_SU_고정구_일체형_30A">단가표!$D$58:$D$59</definedName>
    <definedName name="입상_SU_고정구_일체형_40A">단가표!$D$60:$D$61</definedName>
    <definedName name="입상_SU_고정구_일체형_50A">단가표!$D$62:$D$64</definedName>
    <definedName name="입상_SU_고정구_일체형_60A">단가표!$D$65:$D$66</definedName>
    <definedName name="입상_SU_고정구_일체형_80A">단가표!$D$67:$D$68</definedName>
    <definedName name="입상_SU_고정틀">단가표!$C$9:$C$22</definedName>
    <definedName name="입상_SU_고정틀_20A">단가표!$D$9</definedName>
    <definedName name="입상_SU_고정틀_25A">단가표!$D$10</definedName>
    <definedName name="입상_SU_고정틀_30A">단가표!$D$11</definedName>
    <definedName name="입상_SU_고정틀_40A">단가표!$D$12:$D$13</definedName>
    <definedName name="입상_SU_고정틀_50A">단가표!$D$14:$D$16</definedName>
    <definedName name="입상_SU_고정틀_60A">단가표!$D$17:$D$19</definedName>
    <definedName name="입상_SU_고정틀_80A">단가표!$D$20:$D$22</definedName>
    <definedName name="입상_SU_충진재">단가표!$C$23:$C$53</definedName>
    <definedName name="입상_SU_충진재_100A">단가표!$D$51:$D$53</definedName>
    <definedName name="입상_SU_충진재_20A">단가표!$D$23:$D$24</definedName>
    <definedName name="입상_SU_충진재_25A">단가표!$D$25:$D$27</definedName>
    <definedName name="입상_SU_충진재_30A">단가표!$D$28:$D$31</definedName>
    <definedName name="입상_SU_충진재_40A">단가표!$D$32:$D$35</definedName>
    <definedName name="입상_SU_충진재_50A">단가표!$D$36:$D$39</definedName>
    <definedName name="입상_SU_충진재_60A">단가표!$D$40:$D$43</definedName>
    <definedName name="입상_SU_충진재_75A">단가표!$D$44:$D$47</definedName>
    <definedName name="입상_SU_충진재_80A">단가표!$D$48:$D$50</definedName>
    <definedName name="입상_강관_고정구_일체형">단가표!$C$124:$C$143</definedName>
    <definedName name="입상_강관_고정구_일체형_100A">단가표!$D$142:$D$143</definedName>
    <definedName name="입상_강관_고정구_일체형_15A">단가표!$D$124:$D$125</definedName>
    <definedName name="입상_강관_고정구_일체형_20A">단가표!$D$126:$D$127</definedName>
    <definedName name="입상_강관_고정구_일체형_25A">단가표!$D$128:$D$129</definedName>
    <definedName name="입상_강관_고정구_일체형_32A">단가표!$D$130:$D$131</definedName>
    <definedName name="입상_강관_고정구_일체형_40A">단가표!$D$132:$D$134</definedName>
    <definedName name="입상_강관_고정구_일체형_50A">단가표!$D$135:$D$137</definedName>
    <definedName name="입상_강관_고정구_일체형_65A">단가표!$D$138:$D$139</definedName>
    <definedName name="입상_강관_고정구_일체형_80A">단가표!$D$140:$D$141</definedName>
    <definedName name="입상_강관_고정구_일체형_ABS">단가표!$C$124:$C$143</definedName>
    <definedName name="입상_강관_고정틀">단가표!$C$69+단가표!$C$69:$C$88</definedName>
    <definedName name="입상_강관_고정틀_100A">단가표!$D$84:$D$86</definedName>
    <definedName name="입상_강관_고정틀_125A">단가표!$D$87</definedName>
    <definedName name="입상_강관_고정틀_150A">단가표!$D$88</definedName>
    <definedName name="입상_강관_고정틀_15A">단가표!$D$69</definedName>
    <definedName name="입상_강관_고정틀_20A">단가표!$D$70</definedName>
    <definedName name="입상_강관_고정틀_25A">단가표!$D$71</definedName>
    <definedName name="입상_강관_고정틀_32A">단가표!$D$72:$D$73</definedName>
    <definedName name="입상_강관_고정틀_40A">단가표!$D$74:$D$76</definedName>
    <definedName name="입상_강관_고정틀_50A">단가표!$D$77:$D$79</definedName>
    <definedName name="입상_강관_고정틀_65A">단가표!$D$80</definedName>
    <definedName name="입상_강관_고정틀_80A">단가표!$D$81:$D$83</definedName>
    <definedName name="입상_강관_충진재">단가표!$C$89:$C$123</definedName>
    <definedName name="입상_강관_충진재_100A">단가표!$D$117:$D$119</definedName>
    <definedName name="입상_강관_충진재_125A">단가표!$D$120:$D$121</definedName>
    <definedName name="입상_강관_충진재_150A">단가표!$D$122:$D$123</definedName>
    <definedName name="입상_강관_충진재_15A">단가표!$D$89:$D$90</definedName>
    <definedName name="입상_강관_충진재_20A">단가표!$D$91:$D$93</definedName>
    <definedName name="입상_강관_충진재_25A">단가표!$D$94:$D$97</definedName>
    <definedName name="입상_강관_충진재_32A">단가표!$D$98:$D$101</definedName>
    <definedName name="입상_강관_충진재_40A">단가표!$D$102:$D$105</definedName>
    <definedName name="입상_강관_충진재_50A">단가표!$D$106:$D$109</definedName>
    <definedName name="입상_강관_충진재_65A">단가표!$D$110:$D$113</definedName>
    <definedName name="입상_강관_충진재_80A">단가표!$D$114:$D$116</definedName>
    <definedName name="차열재">단가표!$C$255:$C$261</definedName>
    <definedName name="투명_오배수_섹스티아">단가표!$C$268:$C$271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5" l="1"/>
  <c r="E13" i="5"/>
  <c r="D13" i="5"/>
  <c r="G13" i="5"/>
  <c r="F13" i="5"/>
  <c r="A13" i="5"/>
  <c r="H4" i="26"/>
  <c r="J364" i="26" l="1"/>
  <c r="J363" i="26"/>
  <c r="J362" i="26"/>
  <c r="J361" i="26"/>
  <c r="J360" i="26"/>
  <c r="J359" i="26"/>
  <c r="J358" i="26"/>
  <c r="J357" i="26"/>
  <c r="F364" i="26"/>
  <c r="F363" i="26"/>
  <c r="F362" i="26"/>
  <c r="F361" i="26"/>
  <c r="F360" i="26"/>
  <c r="F359" i="26"/>
  <c r="F358" i="26"/>
  <c r="F357" i="26"/>
  <c r="Q364" i="26"/>
  <c r="Q363" i="26"/>
  <c r="Q362" i="26"/>
  <c r="Q361" i="26"/>
  <c r="Q360" i="26"/>
  <c r="Q359" i="26"/>
  <c r="Q358" i="26"/>
  <c r="Q357" i="26"/>
  <c r="Q260" i="26" l="1"/>
  <c r="Q261" i="26"/>
  <c r="F261" i="26"/>
  <c r="F260" i="26"/>
  <c r="L9" i="15"/>
  <c r="M12" i="15"/>
  <c r="M13" i="15"/>
  <c r="B29" i="15" l="1"/>
  <c r="C29" i="15"/>
  <c r="D29" i="15"/>
  <c r="E29" i="15"/>
  <c r="B30" i="15"/>
  <c r="C30" i="15"/>
  <c r="D30" i="15"/>
  <c r="E30" i="15"/>
  <c r="B31" i="15"/>
  <c r="C31" i="15"/>
  <c r="D31" i="15"/>
  <c r="E31" i="15"/>
  <c r="B32" i="15"/>
  <c r="C32" i="15"/>
  <c r="D32" i="15"/>
  <c r="E32" i="15"/>
  <c r="B33" i="15"/>
  <c r="C33" i="15"/>
  <c r="D33" i="15"/>
  <c r="E33" i="15"/>
  <c r="B34" i="15"/>
  <c r="C34" i="15"/>
  <c r="D34" i="15"/>
  <c r="E34" i="15"/>
  <c r="B35" i="15"/>
  <c r="C35" i="15"/>
  <c r="D35" i="15"/>
  <c r="E35" i="15"/>
  <c r="B36" i="15"/>
  <c r="C36" i="15"/>
  <c r="D36" i="15"/>
  <c r="E36" i="15"/>
  <c r="B37" i="15"/>
  <c r="C37" i="15"/>
  <c r="D37" i="15"/>
  <c r="E37" i="15"/>
  <c r="B38" i="15"/>
  <c r="C38" i="15"/>
  <c r="D38" i="15"/>
  <c r="E38" i="15"/>
  <c r="B39" i="15"/>
  <c r="C39" i="15"/>
  <c r="D39" i="15"/>
  <c r="E39" i="15"/>
  <c r="B40" i="15"/>
  <c r="C40" i="15"/>
  <c r="D40" i="15"/>
  <c r="E40" i="15"/>
  <c r="B41" i="15"/>
  <c r="C41" i="15"/>
  <c r="D41" i="15"/>
  <c r="E41" i="15"/>
  <c r="B42" i="15"/>
  <c r="C42" i="15"/>
  <c r="D42" i="15"/>
  <c r="E42" i="15"/>
  <c r="B43" i="15"/>
  <c r="C43" i="15"/>
  <c r="D43" i="15"/>
  <c r="E43" i="15"/>
  <c r="B44" i="15"/>
  <c r="C44" i="15"/>
  <c r="D44" i="15"/>
  <c r="E44" i="15"/>
  <c r="B45" i="15"/>
  <c r="C45" i="15"/>
  <c r="D45" i="15"/>
  <c r="E45" i="15"/>
  <c r="B46" i="15"/>
  <c r="C46" i="15"/>
  <c r="D46" i="15"/>
  <c r="E46" i="15"/>
  <c r="B47" i="15"/>
  <c r="C47" i="15"/>
  <c r="D47" i="15"/>
  <c r="E47" i="15"/>
  <c r="B48" i="15"/>
  <c r="C48" i="15"/>
  <c r="D48" i="15"/>
  <c r="E48" i="15"/>
  <c r="B49" i="15"/>
  <c r="C49" i="15"/>
  <c r="D49" i="15"/>
  <c r="E49" i="15"/>
  <c r="B22" i="15"/>
  <c r="C22" i="15"/>
  <c r="D22" i="15"/>
  <c r="E22" i="15"/>
  <c r="B23" i="15"/>
  <c r="C23" i="15"/>
  <c r="D23" i="15"/>
  <c r="E23" i="15"/>
  <c r="B24" i="15"/>
  <c r="C24" i="15"/>
  <c r="D24" i="15"/>
  <c r="E24" i="15"/>
  <c r="B25" i="15"/>
  <c r="C25" i="15"/>
  <c r="D25" i="15"/>
  <c r="E25" i="15"/>
  <c r="B26" i="15"/>
  <c r="C26" i="15"/>
  <c r="D26" i="15"/>
  <c r="E26" i="15"/>
  <c r="B27" i="15"/>
  <c r="C27" i="15"/>
  <c r="D27" i="15"/>
  <c r="E27" i="15"/>
  <c r="B28" i="15"/>
  <c r="C28" i="15"/>
  <c r="D28" i="15"/>
  <c r="E28" i="15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A10" i="26" l="1"/>
  <c r="A11" i="26" s="1"/>
  <c r="A12" i="26" s="1"/>
  <c r="A13" i="26" s="1"/>
  <c r="A14" i="26" s="1"/>
  <c r="A15" i="26" s="1"/>
  <c r="A16" i="26" s="1"/>
  <c r="A17" i="26" s="1"/>
  <c r="A18" i="26" s="1"/>
  <c r="A19" i="26" s="1"/>
  <c r="A20" i="26" s="1"/>
  <c r="A21" i="26" s="1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A58" i="26" s="1"/>
  <c r="A59" i="26" s="1"/>
  <c r="A60" i="26" s="1"/>
  <c r="A61" i="26" s="1"/>
  <c r="A62" i="26" s="1"/>
  <c r="A63" i="26" s="1"/>
  <c r="A64" i="26" s="1"/>
  <c r="A65" i="26" s="1"/>
  <c r="A66" i="26" s="1"/>
  <c r="A67" i="26" s="1"/>
  <c r="A68" i="26" s="1"/>
  <c r="A69" i="26" s="1"/>
  <c r="A70" i="26" s="1"/>
  <c r="A71" i="26" s="1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27" i="26" s="1"/>
  <c r="A128" i="26" s="1"/>
  <c r="A129" i="26" s="1"/>
  <c r="A130" i="26" s="1"/>
  <c r="A131" i="26" s="1"/>
  <c r="A132" i="26" s="1"/>
  <c r="A133" i="26" s="1"/>
  <c r="A134" i="26" s="1"/>
  <c r="A135" i="26" s="1"/>
  <c r="A136" i="26" s="1"/>
  <c r="A137" i="26" s="1"/>
  <c r="A138" i="26" s="1"/>
  <c r="A139" i="26" s="1"/>
  <c r="A140" i="26" s="1"/>
  <c r="A141" i="26" s="1"/>
  <c r="A142" i="26" s="1"/>
  <c r="A143" i="26" s="1"/>
  <c r="A144" i="26" s="1"/>
  <c r="A145" i="26" s="1"/>
  <c r="A146" i="26" s="1"/>
  <c r="A147" i="26" s="1"/>
  <c r="A148" i="26" s="1"/>
  <c r="A149" i="26" s="1"/>
  <c r="A150" i="26" s="1"/>
  <c r="A151" i="26" s="1"/>
  <c r="A152" i="26" s="1"/>
  <c r="A153" i="26" s="1"/>
  <c r="A154" i="26" s="1"/>
  <c r="A155" i="26" s="1"/>
  <c r="A156" i="26" s="1"/>
  <c r="A157" i="26" s="1"/>
  <c r="A158" i="26" s="1"/>
  <c r="A159" i="26" s="1"/>
  <c r="A160" i="26" s="1"/>
  <c r="A161" i="26" s="1"/>
  <c r="A162" i="26" s="1"/>
  <c r="A24" i="2"/>
  <c r="A25" i="2"/>
  <c r="A163" i="26" l="1"/>
  <c r="A164" i="26" s="1"/>
  <c r="A165" i="26" s="1"/>
  <c r="A166" i="26" s="1"/>
  <c r="A167" i="26" s="1"/>
  <c r="A168" i="26" s="1"/>
  <c r="A169" i="26" s="1"/>
  <c r="A170" i="26" s="1"/>
  <c r="A171" i="26" s="1"/>
  <c r="A172" i="26" s="1"/>
  <c r="A173" i="26" s="1"/>
  <c r="A174" i="26" s="1"/>
  <c r="A175" i="26" s="1"/>
  <c r="A176" i="26" s="1"/>
  <c r="A177" i="26" s="1"/>
  <c r="A178" i="26" s="1"/>
  <c r="A179" i="26" s="1"/>
  <c r="A180" i="26" s="1"/>
  <c r="A181" i="26" s="1"/>
  <c r="A182" i="26" s="1"/>
  <c r="A183" i="26" s="1"/>
  <c r="A184" i="26" s="1"/>
  <c r="A185" i="26" s="1"/>
  <c r="A186" i="26" s="1"/>
  <c r="A187" i="26" s="1"/>
  <c r="A188" i="26" s="1"/>
  <c r="A189" i="26" s="1"/>
  <c r="A190" i="26" s="1"/>
  <c r="A191" i="26" s="1"/>
  <c r="A192" i="26" s="1"/>
  <c r="A193" i="26" s="1"/>
  <c r="A194" i="26" s="1"/>
  <c r="A195" i="26" s="1"/>
  <c r="A196" i="26" s="1"/>
  <c r="A197" i="26" s="1"/>
  <c r="A198" i="26" s="1"/>
  <c r="A199" i="26" s="1"/>
  <c r="A200" i="26" s="1"/>
  <c r="A201" i="26" s="1"/>
  <c r="A202" i="26" s="1"/>
  <c r="A203" i="26" s="1"/>
  <c r="A204" i="26" s="1"/>
  <c r="A205" i="26" s="1"/>
  <c r="A206" i="26" s="1"/>
  <c r="A207" i="26" s="1"/>
  <c r="A208" i="26" s="1"/>
  <c r="A209" i="26" s="1"/>
  <c r="A210" i="26" s="1"/>
  <c r="A211" i="26" s="1"/>
  <c r="A212" i="26" s="1"/>
  <c r="A213" i="26" s="1"/>
  <c r="A214" i="26" s="1"/>
  <c r="A215" i="26" s="1"/>
  <c r="A216" i="26" s="1"/>
  <c r="A217" i="26" s="1"/>
  <c r="A218" i="26" s="1"/>
  <c r="A219" i="26" s="1"/>
  <c r="A220" i="26" s="1"/>
  <c r="A221" i="26" s="1"/>
  <c r="A222" i="26" s="1"/>
  <c r="A223" i="26" s="1"/>
  <c r="A224" i="26" s="1"/>
  <c r="A225" i="26" s="1"/>
  <c r="A226" i="26" s="1"/>
  <c r="A227" i="26" s="1"/>
  <c r="A228" i="26" s="1"/>
  <c r="A229" i="26" s="1"/>
  <c r="A230" i="26" s="1"/>
  <c r="A231" i="26" s="1"/>
  <c r="A232" i="26" s="1"/>
  <c r="A233" i="26" s="1"/>
  <c r="A234" i="26" s="1"/>
  <c r="A235" i="26" s="1"/>
  <c r="A236" i="26" s="1"/>
  <c r="A237" i="26" s="1"/>
  <c r="A238" i="26" s="1"/>
  <c r="A239" i="26" s="1"/>
  <c r="A240" i="26" s="1"/>
  <c r="A241" i="26" s="1"/>
  <c r="A242" i="26" s="1"/>
  <c r="A243" i="26" s="1"/>
  <c r="A244" i="26" s="1"/>
  <c r="A245" i="26" s="1"/>
  <c r="A246" i="26" s="1"/>
  <c r="A247" i="26" s="1"/>
  <c r="A248" i="26" s="1"/>
  <c r="A249" i="26" s="1"/>
  <c r="A250" i="26" s="1"/>
  <c r="A251" i="26" s="1"/>
  <c r="A252" i="26" s="1"/>
  <c r="A253" i="26" s="1"/>
  <c r="A254" i="26" s="1"/>
  <c r="A255" i="26" s="1"/>
  <c r="A256" i="26" s="1"/>
  <c r="A257" i="26" s="1"/>
  <c r="A258" i="26" s="1"/>
  <c r="A259" i="26" s="1"/>
  <c r="A260" i="26" s="1"/>
  <c r="A261" i="26" s="1"/>
  <c r="A262" i="26" s="1"/>
  <c r="A263" i="26" s="1"/>
  <c r="A264" i="26" s="1"/>
  <c r="A265" i="26" s="1"/>
  <c r="A266" i="26" s="1"/>
  <c r="A267" i="26" s="1"/>
  <c r="A268" i="26" s="1"/>
  <c r="A269" i="26" s="1"/>
  <c r="A270" i="26" s="1"/>
  <c r="A271" i="26" s="1"/>
  <c r="A272" i="26" s="1"/>
  <c r="A273" i="26" s="1"/>
  <c r="A274" i="26" s="1"/>
  <c r="A275" i="26" s="1"/>
  <c r="A276" i="26" s="1"/>
  <c r="A277" i="26" s="1"/>
  <c r="A278" i="26" s="1"/>
  <c r="A279" i="26" s="1"/>
  <c r="A280" i="26" s="1"/>
  <c r="A281" i="26" s="1"/>
  <c r="A282" i="26" s="1"/>
  <c r="A283" i="26" s="1"/>
  <c r="A284" i="26" s="1"/>
  <c r="A285" i="26" s="1"/>
  <c r="A286" i="26" s="1"/>
  <c r="A287" i="26" s="1"/>
  <c r="A288" i="26" s="1"/>
  <c r="A289" i="26" s="1"/>
  <c r="A290" i="26" s="1"/>
  <c r="A291" i="26" s="1"/>
  <c r="A292" i="26" s="1"/>
  <c r="A293" i="26" s="1"/>
  <c r="A294" i="26" s="1"/>
  <c r="A295" i="26" s="1"/>
  <c r="A296" i="26" s="1"/>
  <c r="A297" i="26" s="1"/>
  <c r="A298" i="26" s="1"/>
  <c r="A299" i="26" s="1"/>
  <c r="A300" i="26" s="1"/>
  <c r="A301" i="26" s="1"/>
  <c r="A302" i="26" s="1"/>
  <c r="A303" i="26" s="1"/>
  <c r="A304" i="26" s="1"/>
  <c r="A305" i="26" s="1"/>
  <c r="A306" i="26" s="1"/>
  <c r="A307" i="26" s="1"/>
  <c r="A308" i="26" s="1"/>
  <c r="A309" i="26" s="1"/>
  <c r="A310" i="26" s="1"/>
  <c r="A311" i="26" s="1"/>
  <c r="A312" i="26" s="1"/>
  <c r="A313" i="26" s="1"/>
  <c r="A314" i="26" s="1"/>
  <c r="A315" i="26" s="1"/>
  <c r="A316" i="26" s="1"/>
  <c r="A317" i="26" s="1"/>
  <c r="A318" i="26" s="1"/>
  <c r="A319" i="26" s="1"/>
  <c r="A320" i="26" s="1"/>
  <c r="A321" i="26" s="1"/>
  <c r="A322" i="26" s="1"/>
  <c r="A323" i="26" s="1"/>
  <c r="A324" i="26" s="1"/>
  <c r="A325" i="26" s="1"/>
  <c r="A326" i="26" s="1"/>
  <c r="A327" i="26" s="1"/>
  <c r="A328" i="26" s="1"/>
  <c r="A329" i="26" s="1"/>
  <c r="A330" i="26" s="1"/>
  <c r="A331" i="26" s="1"/>
  <c r="A332" i="26" s="1"/>
  <c r="A333" i="26" s="1"/>
  <c r="A334" i="26" s="1"/>
  <c r="A335" i="26" s="1"/>
  <c r="A336" i="26" s="1"/>
  <c r="A337" i="26" s="1"/>
  <c r="A338" i="26" s="1"/>
  <c r="A339" i="26" s="1"/>
  <c r="A340" i="26" s="1"/>
  <c r="A341" i="26" s="1"/>
  <c r="A342" i="26" s="1"/>
  <c r="A343" i="26" s="1"/>
  <c r="A344" i="26" s="1"/>
  <c r="A345" i="26" s="1"/>
  <c r="A346" i="26" s="1"/>
  <c r="A347" i="26" s="1"/>
  <c r="A348" i="26" s="1"/>
  <c r="A349" i="26" s="1"/>
  <c r="A350" i="26" s="1"/>
  <c r="A351" i="26" s="1"/>
  <c r="A352" i="26" s="1"/>
  <c r="A353" i="26" s="1"/>
  <c r="A354" i="26" s="1"/>
  <c r="A355" i="26" s="1"/>
  <c r="A356" i="26" s="1"/>
  <c r="A357" i="26" s="1"/>
  <c r="A358" i="26" s="1"/>
  <c r="A359" i="26" s="1"/>
  <c r="A360" i="26" s="1"/>
  <c r="A361" i="26" s="1"/>
  <c r="A362" i="26" s="1"/>
  <c r="A363" i="26" s="1"/>
  <c r="A364" i="26" s="1"/>
  <c r="G358" i="26"/>
  <c r="G362" i="26"/>
  <c r="G360" i="26"/>
  <c r="G361" i="26"/>
  <c r="G363" i="26"/>
  <c r="G364" i="26"/>
  <c r="G357" i="26"/>
  <c r="G359" i="26"/>
  <c r="G260" i="26"/>
  <c r="G261" i="26"/>
  <c r="I12" i="31"/>
  <c r="H12" i="31"/>
  <c r="G12" i="31"/>
  <c r="F12" i="31"/>
  <c r="E12" i="31"/>
  <c r="D12" i="31"/>
  <c r="C12" i="31"/>
  <c r="I11" i="31"/>
  <c r="H11" i="31"/>
  <c r="G11" i="31"/>
  <c r="F11" i="31"/>
  <c r="E11" i="31"/>
  <c r="D11" i="31"/>
  <c r="C11" i="31"/>
  <c r="Q256" i="26"/>
  <c r="Q257" i="26"/>
  <c r="Q258" i="26"/>
  <c r="Q259" i="26"/>
  <c r="Q255" i="26"/>
  <c r="G3" i="5" l="1"/>
  <c r="C3" i="5"/>
  <c r="G10" i="5"/>
  <c r="C10" i="5"/>
  <c r="C9" i="5"/>
  <c r="C8" i="5"/>
  <c r="G33" i="5"/>
  <c r="F33" i="5"/>
  <c r="F8" i="27" l="1"/>
  <c r="F356" i="26" l="1"/>
  <c r="G356" i="26" s="1"/>
  <c r="F355" i="26"/>
  <c r="G355" i="26" s="1"/>
  <c r="F354" i="26"/>
  <c r="G354" i="26" s="1"/>
  <c r="F353" i="26"/>
  <c r="G353" i="26" s="1"/>
  <c r="F352" i="26"/>
  <c r="G352" i="26" s="1"/>
  <c r="F351" i="26"/>
  <c r="G351" i="26" s="1"/>
  <c r="F350" i="26"/>
  <c r="G350" i="26" s="1"/>
  <c r="F349" i="26"/>
  <c r="G349" i="26" s="1"/>
  <c r="F348" i="26"/>
  <c r="G348" i="26" s="1"/>
  <c r="F347" i="26"/>
  <c r="G347" i="26" s="1"/>
  <c r="F346" i="26"/>
  <c r="G346" i="26" s="1"/>
  <c r="F345" i="26"/>
  <c r="G345" i="26" s="1"/>
  <c r="F344" i="26"/>
  <c r="G344" i="26" s="1"/>
  <c r="F343" i="26"/>
  <c r="G343" i="26" s="1"/>
  <c r="F342" i="26"/>
  <c r="G342" i="26" s="1"/>
  <c r="F341" i="26"/>
  <c r="G341" i="26" s="1"/>
  <c r="F340" i="26"/>
  <c r="G340" i="26" s="1"/>
  <c r="F339" i="26"/>
  <c r="G339" i="26" s="1"/>
  <c r="F338" i="26"/>
  <c r="G338" i="26" s="1"/>
  <c r="F337" i="26"/>
  <c r="G337" i="26" s="1"/>
  <c r="F336" i="26"/>
  <c r="G336" i="26" s="1"/>
  <c r="F335" i="26"/>
  <c r="G335" i="26" s="1"/>
  <c r="F334" i="26"/>
  <c r="G334" i="26" s="1"/>
  <c r="F333" i="26"/>
  <c r="G333" i="26" s="1"/>
  <c r="F332" i="26"/>
  <c r="G332" i="26" s="1"/>
  <c r="F331" i="26"/>
  <c r="G331" i="26" s="1"/>
  <c r="F330" i="26"/>
  <c r="G330" i="26" s="1"/>
  <c r="F329" i="26"/>
  <c r="G329" i="26" s="1"/>
  <c r="F328" i="26"/>
  <c r="G328" i="26" s="1"/>
  <c r="F327" i="26"/>
  <c r="G327" i="26" s="1"/>
  <c r="F326" i="26"/>
  <c r="G326" i="26" s="1"/>
  <c r="F325" i="26"/>
  <c r="G325" i="26" s="1"/>
  <c r="F324" i="26"/>
  <c r="G324" i="26" s="1"/>
  <c r="F323" i="26"/>
  <c r="G323" i="26" s="1"/>
  <c r="F322" i="26"/>
  <c r="G322" i="26" s="1"/>
  <c r="F321" i="26"/>
  <c r="G321" i="26" s="1"/>
  <c r="F320" i="26"/>
  <c r="G320" i="26" s="1"/>
  <c r="F319" i="26"/>
  <c r="G319" i="26" s="1"/>
  <c r="F318" i="26"/>
  <c r="G318" i="26" s="1"/>
  <c r="F317" i="26"/>
  <c r="G317" i="26" s="1"/>
  <c r="F316" i="26"/>
  <c r="G316" i="26" s="1"/>
  <c r="F315" i="26"/>
  <c r="G315" i="26" s="1"/>
  <c r="F314" i="26"/>
  <c r="G314" i="26" s="1"/>
  <c r="F313" i="26"/>
  <c r="G313" i="26" s="1"/>
  <c r="F312" i="26"/>
  <c r="G312" i="26" s="1"/>
  <c r="F311" i="26"/>
  <c r="G311" i="26" s="1"/>
  <c r="F310" i="26"/>
  <c r="G310" i="26" s="1"/>
  <c r="F309" i="26"/>
  <c r="G309" i="26" s="1"/>
  <c r="F308" i="26"/>
  <c r="G308" i="26" s="1"/>
  <c r="F307" i="26"/>
  <c r="G307" i="26" s="1"/>
  <c r="F306" i="26"/>
  <c r="G306" i="26" s="1"/>
  <c r="F305" i="26"/>
  <c r="G305" i="26" s="1"/>
  <c r="F304" i="26"/>
  <c r="G304" i="26" s="1"/>
  <c r="F303" i="26"/>
  <c r="G303" i="26" s="1"/>
  <c r="F302" i="26"/>
  <c r="G302" i="26" s="1"/>
  <c r="F301" i="26"/>
  <c r="G301" i="26" s="1"/>
  <c r="F300" i="26"/>
  <c r="G300" i="26" s="1"/>
  <c r="F299" i="26"/>
  <c r="G299" i="26" s="1"/>
  <c r="F298" i="26"/>
  <c r="G298" i="26" s="1"/>
  <c r="F297" i="26"/>
  <c r="G297" i="26" s="1"/>
  <c r="F296" i="26"/>
  <c r="G296" i="26" s="1"/>
  <c r="F295" i="26"/>
  <c r="G295" i="26" s="1"/>
  <c r="F294" i="26"/>
  <c r="G294" i="26" s="1"/>
  <c r="F293" i="26"/>
  <c r="G293" i="26" s="1"/>
  <c r="F292" i="26"/>
  <c r="G292" i="26" s="1"/>
  <c r="F291" i="26"/>
  <c r="G291" i="26" s="1"/>
  <c r="F290" i="26"/>
  <c r="G290" i="26" s="1"/>
  <c r="F289" i="26"/>
  <c r="G289" i="26" s="1"/>
  <c r="F288" i="26"/>
  <c r="G288" i="26" s="1"/>
  <c r="F287" i="26"/>
  <c r="G287" i="26" s="1"/>
  <c r="F286" i="26"/>
  <c r="G286" i="26" s="1"/>
  <c r="F285" i="26"/>
  <c r="G285" i="26" s="1"/>
  <c r="F284" i="26"/>
  <c r="G284" i="26" s="1"/>
  <c r="F283" i="26"/>
  <c r="G283" i="26" s="1"/>
  <c r="F282" i="26"/>
  <c r="G282" i="26" s="1"/>
  <c r="F281" i="26"/>
  <c r="G281" i="26" s="1"/>
  <c r="F280" i="26"/>
  <c r="G280" i="26" s="1"/>
  <c r="F279" i="26"/>
  <c r="G279" i="26" s="1"/>
  <c r="F278" i="26"/>
  <c r="G278" i="26" s="1"/>
  <c r="F277" i="26"/>
  <c r="G277" i="26" s="1"/>
  <c r="F276" i="26"/>
  <c r="G276" i="26" s="1"/>
  <c r="F275" i="26"/>
  <c r="G275" i="26" s="1"/>
  <c r="F274" i="26"/>
  <c r="G274" i="26" s="1"/>
  <c r="F273" i="26"/>
  <c r="G273" i="26" s="1"/>
  <c r="F272" i="26"/>
  <c r="G272" i="26" s="1"/>
  <c r="Q356" i="26"/>
  <c r="Q355" i="26"/>
  <c r="Q354" i="26"/>
  <c r="Q353" i="26"/>
  <c r="Q352" i="26"/>
  <c r="Q351" i="26"/>
  <c r="Q350" i="26"/>
  <c r="Q349" i="26"/>
  <c r="Q348" i="26"/>
  <c r="Q347" i="26"/>
  <c r="Q346" i="26"/>
  <c r="Q345" i="26"/>
  <c r="Q344" i="26"/>
  <c r="Q343" i="26"/>
  <c r="Q342" i="26"/>
  <c r="Q341" i="26"/>
  <c r="Q340" i="26"/>
  <c r="Q339" i="26"/>
  <c r="Q338" i="26"/>
  <c r="Q337" i="26"/>
  <c r="Q336" i="26"/>
  <c r="Q335" i="26"/>
  <c r="Q334" i="26"/>
  <c r="Q333" i="26"/>
  <c r="Q332" i="26"/>
  <c r="Q331" i="26"/>
  <c r="Q330" i="26"/>
  <c r="Q329" i="26"/>
  <c r="Q328" i="26"/>
  <c r="Q327" i="26"/>
  <c r="Q326" i="26"/>
  <c r="Q325" i="26"/>
  <c r="Q324" i="26"/>
  <c r="Q323" i="26"/>
  <c r="Q322" i="26"/>
  <c r="Q321" i="26"/>
  <c r="Q320" i="26"/>
  <c r="Q319" i="26"/>
  <c r="Q318" i="26"/>
  <c r="Q317" i="26"/>
  <c r="Q316" i="26"/>
  <c r="Q315" i="26"/>
  <c r="Q314" i="26"/>
  <c r="Q313" i="26"/>
  <c r="Q312" i="26"/>
  <c r="Q311" i="26"/>
  <c r="Q310" i="26"/>
  <c r="Q309" i="26"/>
  <c r="Q308" i="26"/>
  <c r="Q307" i="26"/>
  <c r="Q306" i="26"/>
  <c r="Q305" i="26"/>
  <c r="Q304" i="26"/>
  <c r="Q303" i="26"/>
  <c r="Q302" i="26"/>
  <c r="Q301" i="26"/>
  <c r="Q300" i="26"/>
  <c r="Q299" i="26"/>
  <c r="Q298" i="26"/>
  <c r="Q297" i="26"/>
  <c r="Q296" i="26"/>
  <c r="Q295" i="26"/>
  <c r="Q294" i="26"/>
  <c r="Q293" i="26"/>
  <c r="Q292" i="26"/>
  <c r="Q291" i="26"/>
  <c r="Q290" i="26"/>
  <c r="Q289" i="26"/>
  <c r="Q288" i="26"/>
  <c r="Q287" i="26"/>
  <c r="Q286" i="26"/>
  <c r="Q285" i="26"/>
  <c r="Q284" i="26"/>
  <c r="Q283" i="26"/>
  <c r="Q282" i="26"/>
  <c r="Q281" i="26"/>
  <c r="Q280" i="26"/>
  <c r="Q279" i="26"/>
  <c r="Q278" i="26"/>
  <c r="Q277" i="26"/>
  <c r="Q276" i="26"/>
  <c r="Q275" i="26"/>
  <c r="Q274" i="26"/>
  <c r="Q273" i="26"/>
  <c r="Q272" i="26"/>
  <c r="F263" i="26"/>
  <c r="G263" i="26" s="1"/>
  <c r="F264" i="26"/>
  <c r="G264" i="26" s="1"/>
  <c r="F265" i="26"/>
  <c r="G265" i="26" s="1"/>
  <c r="F266" i="26"/>
  <c r="G266" i="26" s="1"/>
  <c r="F267" i="26"/>
  <c r="G267" i="26" s="1"/>
  <c r="F268" i="26"/>
  <c r="G268" i="26" s="1"/>
  <c r="F269" i="26"/>
  <c r="G269" i="26" s="1"/>
  <c r="F270" i="26"/>
  <c r="G270" i="26" s="1"/>
  <c r="F271" i="26"/>
  <c r="G271" i="26" s="1"/>
  <c r="B25" i="2" l="1"/>
  <c r="C25" i="2"/>
  <c r="D25" i="2"/>
  <c r="E25" i="2"/>
  <c r="F25" i="2"/>
  <c r="B26" i="2"/>
  <c r="C26" i="2"/>
  <c r="D26" i="2"/>
  <c r="E26" i="2"/>
  <c r="F26" i="2"/>
  <c r="M11" i="15"/>
  <c r="L15" i="2"/>
  <c r="L14" i="2"/>
  <c r="K11" i="2"/>
  <c r="E23" i="2"/>
  <c r="D23" i="2"/>
  <c r="C23" i="2"/>
  <c r="B23" i="2"/>
  <c r="E22" i="2"/>
  <c r="D22" i="2"/>
  <c r="C22" i="2"/>
  <c r="B22" i="2"/>
  <c r="E21" i="2"/>
  <c r="D21" i="2"/>
  <c r="C21" i="2"/>
  <c r="B21" i="2"/>
  <c r="E20" i="2"/>
  <c r="D20" i="2"/>
  <c r="C20" i="2"/>
  <c r="B20" i="2"/>
  <c r="I10" i="31" l="1"/>
  <c r="H10" i="31"/>
  <c r="G10" i="31"/>
  <c r="F10" i="31"/>
  <c r="E10" i="31"/>
  <c r="D10" i="31"/>
  <c r="C10" i="31"/>
  <c r="I9" i="31"/>
  <c r="H9" i="31"/>
  <c r="G9" i="31"/>
  <c r="F9" i="31"/>
  <c r="E9" i="31"/>
  <c r="D9" i="31"/>
  <c r="C9" i="31"/>
  <c r="I8" i="31"/>
  <c r="H8" i="31"/>
  <c r="G8" i="31"/>
  <c r="F8" i="31"/>
  <c r="E8" i="31"/>
  <c r="D8" i="31"/>
  <c r="C8" i="31"/>
  <c r="C7" i="31"/>
  <c r="Q264" i="26"/>
  <c r="Q265" i="26"/>
  <c r="Q266" i="26"/>
  <c r="Q267" i="26"/>
  <c r="Q268" i="26"/>
  <c r="Q269" i="26"/>
  <c r="Q270" i="26"/>
  <c r="Q271" i="26"/>
  <c r="L254" i="26" l="1" a="1"/>
  <c r="L254" i="26" s="1"/>
  <c r="L253" i="26" a="1"/>
  <c r="L253" i="26" s="1"/>
  <c r="L250" i="26" a="1"/>
  <c r="L250" i="26" s="1"/>
  <c r="L247" i="26" a="1"/>
  <c r="L247" i="26" s="1"/>
  <c r="L244" i="26" a="1"/>
  <c r="L244" i="26" s="1"/>
  <c r="L239" i="26" a="1"/>
  <c r="L239" i="26" s="1"/>
  <c r="L236" i="26" a="1"/>
  <c r="L236" i="26" s="1"/>
  <c r="L233" i="26" a="1"/>
  <c r="L233" i="26" s="1"/>
  <c r="L232" i="26" a="1"/>
  <c r="L232" i="26" s="1"/>
  <c r="L231" i="26" a="1"/>
  <c r="L231" i="26" s="1"/>
  <c r="L230" i="26" a="1"/>
  <c r="L230" i="26" s="1"/>
  <c r="L229" i="26" a="1"/>
  <c r="L229" i="26" s="1"/>
  <c r="L228" i="26" a="1"/>
  <c r="L228" i="26" s="1"/>
  <c r="L227" i="26" a="1"/>
  <c r="L227" i="26" s="1"/>
  <c r="L224" i="26" a="1"/>
  <c r="L224" i="26" s="1"/>
  <c r="L223" i="26" a="1"/>
  <c r="L223" i="26" s="1"/>
  <c r="L220" i="26" a="1"/>
  <c r="L220" i="26" s="1"/>
  <c r="L219" i="26" a="1"/>
  <c r="L219" i="26" s="1"/>
  <c r="L218" i="26" a="1"/>
  <c r="L218" i="26" s="1"/>
  <c r="L215" i="26" a="1"/>
  <c r="L215" i="26" s="1"/>
  <c r="L214" i="26" a="1"/>
  <c r="L214" i="26" s="1"/>
  <c r="L211" i="26" a="1"/>
  <c r="L211" i="26" s="1"/>
  <c r="L208" i="26" a="1"/>
  <c r="L208" i="26" s="1"/>
  <c r="L207" i="26" a="1"/>
  <c r="L207" i="26" s="1"/>
  <c r="L204" i="26" a="1"/>
  <c r="L204" i="26" s="1"/>
  <c r="L203" i="26" a="1"/>
  <c r="L203" i="26" s="1"/>
  <c r="L200" i="26" a="1"/>
  <c r="L200" i="26" s="1"/>
  <c r="L199" i="26" a="1"/>
  <c r="L199" i="26" s="1"/>
  <c r="L197" i="26" a="1"/>
  <c r="L197" i="26" s="1"/>
  <c r="L193" i="26" a="1"/>
  <c r="L193" i="26" s="1"/>
  <c r="L192" i="26" a="1"/>
  <c r="L192" i="26" s="1"/>
  <c r="L189" i="26" a="1"/>
  <c r="L189" i="26" s="1"/>
  <c r="L188" i="26" a="1"/>
  <c r="L188" i="26" s="1"/>
  <c r="L187" i="26" a="1"/>
  <c r="L187" i="26" s="1"/>
  <c r="L184" i="26" a="1"/>
  <c r="L184" i="26" s="1"/>
  <c r="L183" i="26" a="1"/>
  <c r="L183" i="26" s="1"/>
  <c r="L180" i="26" a="1"/>
  <c r="L180" i="26" s="1"/>
  <c r="L176" i="26" a="1"/>
  <c r="L176" i="26" s="1"/>
  <c r="L172" i="26" a="1"/>
  <c r="L172" i="26" s="1"/>
  <c r="L169" i="26" a="1"/>
  <c r="L169" i="26" s="1"/>
  <c r="L166" i="26" a="1"/>
  <c r="L166" i="26" s="1"/>
  <c r="L153" i="26" a="1"/>
  <c r="L153" i="26" s="1"/>
  <c r="L154" i="26" a="1"/>
  <c r="L154" i="26" s="1"/>
  <c r="L155" i="26" a="1"/>
  <c r="L155" i="26" s="1"/>
  <c r="L156" i="26" a="1"/>
  <c r="L156" i="26" s="1"/>
  <c r="L157" i="26" a="1"/>
  <c r="L157" i="26" s="1"/>
  <c r="L158" i="26" a="1"/>
  <c r="L158" i="26" s="1"/>
  <c r="L159" i="26" a="1"/>
  <c r="L159" i="26" s="1"/>
  <c r="L160" i="26" a="1"/>
  <c r="L160" i="26" s="1"/>
  <c r="L161" i="26" a="1"/>
  <c r="L161" i="26" s="1"/>
  <c r="L23" i="26" a="1"/>
  <c r="L23" i="26" s="1"/>
  <c r="S10" i="26" a="1"/>
  <c r="S10" i="26" s="1"/>
  <c r="L123" i="26" l="1" a="1"/>
  <c r="L123" i="26" s="1"/>
  <c r="L122" i="26" a="1"/>
  <c r="L122" i="26" s="1"/>
  <c r="L121" i="26" a="1"/>
  <c r="L121" i="26" s="1"/>
  <c r="L120" i="26" a="1"/>
  <c r="L120" i="26" s="1"/>
  <c r="L119" i="26" a="1"/>
  <c r="L119" i="26" s="1"/>
  <c r="L118" i="26" a="1"/>
  <c r="L118" i="26" s="1"/>
  <c r="L117" i="26" a="1"/>
  <c r="L117" i="26" s="1"/>
  <c r="L116" i="26" a="1"/>
  <c r="L116" i="26" s="1"/>
  <c r="L115" i="26" a="1"/>
  <c r="L115" i="26" s="1"/>
  <c r="L114" i="26" a="1"/>
  <c r="L114" i="26" s="1"/>
  <c r="L113" i="26" a="1"/>
  <c r="L113" i="26" s="1"/>
  <c r="L112" i="26" a="1"/>
  <c r="L112" i="26" s="1"/>
  <c r="L111" i="26" a="1"/>
  <c r="L111" i="26" s="1"/>
  <c r="L110" i="26" a="1"/>
  <c r="L110" i="26" s="1"/>
  <c r="L109" i="26" a="1"/>
  <c r="L109" i="26" s="1"/>
  <c r="L108" i="26" a="1"/>
  <c r="L108" i="26" s="1"/>
  <c r="L107" i="26" a="1"/>
  <c r="L107" i="26" s="1"/>
  <c r="L106" i="26" a="1"/>
  <c r="L106" i="26" s="1"/>
  <c r="L105" i="26" a="1"/>
  <c r="L105" i="26" s="1"/>
  <c r="L104" i="26" a="1"/>
  <c r="L104" i="26" s="1"/>
  <c r="L103" i="26" a="1"/>
  <c r="L103" i="26" s="1"/>
  <c r="L102" i="26" a="1"/>
  <c r="L102" i="26" s="1"/>
  <c r="L101" i="26" a="1"/>
  <c r="L101" i="26" s="1"/>
  <c r="L100" i="26" a="1"/>
  <c r="L100" i="26" s="1"/>
  <c r="L99" i="26" a="1"/>
  <c r="L99" i="26" s="1"/>
  <c r="L98" i="26" a="1"/>
  <c r="L98" i="26" s="1"/>
  <c r="L97" i="26" a="1"/>
  <c r="L97" i="26" s="1"/>
  <c r="L96" i="26" a="1"/>
  <c r="L96" i="26" s="1"/>
  <c r="L95" i="26" a="1"/>
  <c r="L95" i="26" s="1"/>
  <c r="L94" i="26" a="1"/>
  <c r="L94" i="26" s="1"/>
  <c r="L93" i="26" a="1"/>
  <c r="L93" i="26" s="1"/>
  <c r="L92" i="26" a="1"/>
  <c r="L92" i="26" s="1"/>
  <c r="L91" i="26" a="1"/>
  <c r="L91" i="26" s="1"/>
  <c r="L90" i="26" a="1"/>
  <c r="L90" i="26" s="1"/>
  <c r="L89" i="26" a="1"/>
  <c r="L89" i="26" s="1"/>
  <c r="L53" i="26" a="1"/>
  <c r="L53" i="26" s="1"/>
  <c r="L52" i="26" a="1"/>
  <c r="L52" i="26" s="1"/>
  <c r="L51" i="26" a="1"/>
  <c r="L51" i="26" s="1"/>
  <c r="L50" i="26" a="1"/>
  <c r="L50" i="26" s="1"/>
  <c r="L49" i="26" a="1"/>
  <c r="L49" i="26" s="1"/>
  <c r="L48" i="26" a="1"/>
  <c r="L48" i="26" s="1"/>
  <c r="L47" i="26" a="1"/>
  <c r="L47" i="26" s="1"/>
  <c r="L46" i="26" a="1"/>
  <c r="L46" i="26" s="1"/>
  <c r="L45" i="26" a="1"/>
  <c r="L45" i="26" s="1"/>
  <c r="L44" i="26" a="1"/>
  <c r="L44" i="26" s="1"/>
  <c r="L43" i="26" a="1"/>
  <c r="L43" i="26" s="1"/>
  <c r="L42" i="26" a="1"/>
  <c r="L42" i="26" s="1"/>
  <c r="L41" i="26" a="1"/>
  <c r="L41" i="26" s="1"/>
  <c r="L40" i="26" a="1"/>
  <c r="L40" i="26" s="1"/>
  <c r="L39" i="26" a="1"/>
  <c r="L39" i="26" s="1"/>
  <c r="L38" i="26" a="1"/>
  <c r="L38" i="26" s="1"/>
  <c r="L37" i="26" a="1"/>
  <c r="L37" i="26" s="1"/>
  <c r="L36" i="26" a="1"/>
  <c r="L36" i="26" s="1"/>
  <c r="L35" i="26" a="1"/>
  <c r="L35" i="26" s="1"/>
  <c r="L34" i="26" a="1"/>
  <c r="L34" i="26" s="1"/>
  <c r="L33" i="26" a="1"/>
  <c r="L33" i="26" s="1"/>
  <c r="L32" i="26" a="1"/>
  <c r="L32" i="26" s="1"/>
  <c r="L31" i="26" a="1"/>
  <c r="L31" i="26" s="1"/>
  <c r="L30" i="26" a="1"/>
  <c r="L30" i="26" s="1"/>
  <c r="L29" i="26" a="1"/>
  <c r="L29" i="26" s="1"/>
  <c r="L28" i="26" a="1"/>
  <c r="L28" i="26" s="1"/>
  <c r="L27" i="26" a="1"/>
  <c r="L27" i="26" s="1"/>
  <c r="L26" i="26" a="1"/>
  <c r="L26" i="26" s="1"/>
  <c r="L25" i="26" a="1"/>
  <c r="L25" i="26" s="1"/>
  <c r="L24" i="26" a="1"/>
  <c r="L24" i="26" s="1"/>
  <c r="Q263" i="26" l="1"/>
  <c r="Q67" i="26" l="1"/>
  <c r="Q68" i="26"/>
  <c r="Q165" i="26"/>
  <c r="Q166" i="26"/>
  <c r="Q196" i="26"/>
  <c r="Q197" i="26"/>
  <c r="Q42" i="26"/>
  <c r="Q43" i="26"/>
  <c r="Q44" i="26"/>
  <c r="Q45" i="26"/>
  <c r="Q46" i="26"/>
  <c r="Q47" i="26"/>
  <c r="Q48" i="26"/>
  <c r="Q49" i="26"/>
  <c r="Q50" i="26"/>
  <c r="Q51" i="26"/>
  <c r="Q52" i="26"/>
  <c r="Q53" i="26"/>
  <c r="Q36" i="26"/>
  <c r="F53" i="26"/>
  <c r="G53" i="26" s="1"/>
  <c r="F52" i="26"/>
  <c r="G52" i="26" s="1"/>
  <c r="F51" i="26"/>
  <c r="G51" i="26" s="1"/>
  <c r="F50" i="26"/>
  <c r="G50" i="26" s="1"/>
  <c r="F49" i="26"/>
  <c r="G49" i="26" s="1"/>
  <c r="F48" i="26"/>
  <c r="G48" i="26" s="1"/>
  <c r="F47" i="26"/>
  <c r="G47" i="26" s="1"/>
  <c r="F46" i="26"/>
  <c r="G46" i="26" s="1"/>
  <c r="F45" i="26"/>
  <c r="G45" i="26" s="1"/>
  <c r="F44" i="26"/>
  <c r="G44" i="26" s="1"/>
  <c r="F43" i="26"/>
  <c r="G43" i="26" s="1"/>
  <c r="F42" i="26"/>
  <c r="G42" i="26" s="1"/>
  <c r="F36" i="26"/>
  <c r="G36" i="26" s="1"/>
  <c r="F32" i="26"/>
  <c r="G32" i="26" s="1"/>
  <c r="Q32" i="26"/>
  <c r="F28" i="26"/>
  <c r="G28" i="26" s="1"/>
  <c r="Q28" i="26"/>
  <c r="F25" i="26"/>
  <c r="G25" i="26" s="1"/>
  <c r="Q25" i="26"/>
  <c r="U10" i="26" l="1"/>
  <c r="Q123" i="26"/>
  <c r="Q122" i="26"/>
  <c r="Q121" i="26"/>
  <c r="Q120" i="26"/>
  <c r="Q119" i="26"/>
  <c r="F123" i="26"/>
  <c r="G123" i="26" s="1"/>
  <c r="F122" i="26"/>
  <c r="G122" i="26" s="1"/>
  <c r="F121" i="26"/>
  <c r="G121" i="26" s="1"/>
  <c r="F120" i="26"/>
  <c r="G120" i="26" s="1"/>
  <c r="F119" i="26"/>
  <c r="G119" i="26" s="1"/>
  <c r="F91" i="26"/>
  <c r="G91" i="26" s="1"/>
  <c r="Q91" i="26"/>
  <c r="F233" i="26"/>
  <c r="G233" i="26" s="1"/>
  <c r="F232" i="26"/>
  <c r="G232" i="26" s="1"/>
  <c r="F231" i="26"/>
  <c r="G231" i="26" s="1"/>
  <c r="F230" i="26"/>
  <c r="G230" i="26" s="1"/>
  <c r="F229" i="26"/>
  <c r="G229" i="26" s="1"/>
  <c r="F228" i="26"/>
  <c r="G228" i="26" s="1"/>
  <c r="F197" i="26"/>
  <c r="G197" i="26" s="1"/>
  <c r="F196" i="26"/>
  <c r="G196" i="26" s="1"/>
  <c r="F195" i="26"/>
  <c r="G195" i="26" s="1"/>
  <c r="F194" i="26"/>
  <c r="G194" i="26" s="1"/>
  <c r="F193" i="26"/>
  <c r="G193" i="26" s="1"/>
  <c r="F192" i="26"/>
  <c r="G192" i="26" s="1"/>
  <c r="F191" i="26"/>
  <c r="G191" i="26" s="1"/>
  <c r="F190" i="26"/>
  <c r="G190" i="26" s="1"/>
  <c r="F189" i="26"/>
  <c r="G189" i="26" s="1"/>
  <c r="F188" i="26"/>
  <c r="G188" i="26" s="1"/>
  <c r="F187" i="26"/>
  <c r="G187" i="26" s="1"/>
  <c r="F186" i="26"/>
  <c r="G186" i="26" s="1"/>
  <c r="F185" i="26"/>
  <c r="G185" i="26" s="1"/>
  <c r="F184" i="26"/>
  <c r="G184" i="26" s="1"/>
  <c r="F183" i="26"/>
  <c r="G183" i="26" s="1"/>
  <c r="F166" i="26"/>
  <c r="G166" i="26" s="1"/>
  <c r="F165" i="26"/>
  <c r="G165" i="26" s="1"/>
  <c r="F150" i="26" l="1"/>
  <c r="G150" i="26" s="1"/>
  <c r="Q150" i="26"/>
  <c r="F79" i="26"/>
  <c r="G79" i="26" s="1"/>
  <c r="Q79" i="26"/>
  <c r="F22" i="26"/>
  <c r="G22" i="26" s="1"/>
  <c r="F21" i="26"/>
  <c r="G21" i="26" s="1"/>
  <c r="F20" i="26"/>
  <c r="G20" i="26" s="1"/>
  <c r="Q22" i="26"/>
  <c r="Q21" i="26"/>
  <c r="Q20" i="26"/>
  <c r="F17" i="26"/>
  <c r="G17" i="26" s="1"/>
  <c r="Q17" i="26"/>
  <c r="F68" i="26" l="1"/>
  <c r="G68" i="26" s="1"/>
  <c r="F67" i="26"/>
  <c r="G67" i="26" s="1"/>
  <c r="F135" i="26"/>
  <c r="G135" i="26" s="1"/>
  <c r="Q135" i="26"/>
  <c r="T103" i="27"/>
  <c r="T104" i="27"/>
  <c r="T105" i="27"/>
  <c r="T106" i="27"/>
  <c r="T102" i="27"/>
  <c r="F256" i="26"/>
  <c r="F255" i="26"/>
  <c r="G255" i="26" s="1"/>
  <c r="K205" i="26" l="1"/>
  <c r="K191" i="26"/>
  <c r="K142" i="26"/>
  <c r="K202" i="26"/>
  <c r="K174" i="26"/>
  <c r="K171" i="26"/>
  <c r="K226" i="26"/>
  <c r="K170" i="26"/>
  <c r="K190" i="26"/>
  <c r="K141" i="26"/>
  <c r="K217" i="26"/>
  <c r="K175" i="26"/>
  <c r="K140" i="26"/>
  <c r="K216" i="26"/>
  <c r="K139" i="26"/>
  <c r="K198" i="26"/>
  <c r="K225" i="26"/>
  <c r="K210" i="26"/>
  <c r="K196" i="26"/>
  <c r="K182" i="26"/>
  <c r="K168" i="26"/>
  <c r="K209" i="26"/>
  <c r="K181" i="26"/>
  <c r="K221" i="26"/>
  <c r="K195" i="26"/>
  <c r="K167" i="26"/>
  <c r="K222" i="26"/>
  <c r="K194" i="26"/>
  <c r="K165" i="26"/>
  <c r="K185" i="26"/>
  <c r="K179" i="26"/>
  <c r="K68" i="26"/>
  <c r="K213" i="26"/>
  <c r="K212" i="26"/>
  <c r="K206" i="26"/>
  <c r="K178" i="26"/>
  <c r="K143" i="26"/>
  <c r="K67" i="26"/>
  <c r="K201" i="26"/>
  <c r="K138" i="26"/>
  <c r="K186" i="26"/>
  <c r="G256" i="26"/>
  <c r="V103" i="27" s="1"/>
  <c r="V102" i="27"/>
  <c r="L14" i="31" l="1"/>
  <c r="K14" i="31"/>
  <c r="I14" i="31"/>
  <c r="H14" i="31"/>
  <c r="G14" i="31"/>
  <c r="F14" i="31"/>
  <c r="E14" i="31"/>
  <c r="D14" i="31"/>
  <c r="C14" i="31"/>
  <c r="N13" i="31"/>
  <c r="M13" i="31"/>
  <c r="L13" i="31"/>
  <c r="K13" i="31"/>
  <c r="I13" i="31"/>
  <c r="H13" i="31"/>
  <c r="G13" i="31"/>
  <c r="F13" i="31"/>
  <c r="E13" i="31"/>
  <c r="D13" i="31"/>
  <c r="C13" i="31"/>
  <c r="I7" i="31"/>
  <c r="H7" i="31"/>
  <c r="G7" i="31"/>
  <c r="F7" i="31"/>
  <c r="E7" i="31"/>
  <c r="D7" i="31"/>
  <c r="F2" i="31"/>
  <c r="C2" i="31"/>
  <c r="B8" i="31"/>
  <c r="B9" i="31" s="1"/>
  <c r="B10" i="31" s="1"/>
  <c r="B12" i="31" l="1"/>
  <c r="B13" i="31" s="1"/>
  <c r="B14" i="31" s="1"/>
  <c r="B11" i="31"/>
  <c r="T109" i="27"/>
  <c r="Q262" i="26" l="1"/>
  <c r="G52" i="15" l="1"/>
  <c r="G25" i="2" s="1"/>
  <c r="E21" i="15" l="1"/>
  <c r="D21" i="15"/>
  <c r="D19" i="2" s="1"/>
  <c r="C21" i="15"/>
  <c r="B21" i="15"/>
  <c r="B19" i="2" s="1"/>
  <c r="C19" i="2" l="1"/>
  <c r="E19" i="2"/>
  <c r="Q254" i="26" l="1"/>
  <c r="Q253" i="26"/>
  <c r="Q252" i="26"/>
  <c r="Q251" i="26"/>
  <c r="Q250" i="26"/>
  <c r="Q249" i="26"/>
  <c r="Q248" i="26"/>
  <c r="Q247" i="26"/>
  <c r="Q246" i="26"/>
  <c r="Q245" i="26"/>
  <c r="Q244" i="26"/>
  <c r="Q243" i="26"/>
  <c r="Q242" i="26"/>
  <c r="Q241" i="26"/>
  <c r="Q240" i="26"/>
  <c r="Q239" i="26"/>
  <c r="Q238" i="26"/>
  <c r="Q237" i="26"/>
  <c r="Q236" i="26"/>
  <c r="Q235" i="26"/>
  <c r="Q234" i="26"/>
  <c r="Q233" i="26"/>
  <c r="Q232" i="26"/>
  <c r="Q231" i="26"/>
  <c r="Q230" i="26"/>
  <c r="Q229" i="26"/>
  <c r="Q228" i="26"/>
  <c r="Q227" i="26"/>
  <c r="Q226" i="26"/>
  <c r="Q225" i="26"/>
  <c r="Q224" i="26"/>
  <c r="Q223" i="26"/>
  <c r="Q222" i="26"/>
  <c r="Q221" i="26"/>
  <c r="Q220" i="26"/>
  <c r="Q219" i="26"/>
  <c r="Q218" i="26"/>
  <c r="Q217" i="26"/>
  <c r="Q216" i="26"/>
  <c r="Q215" i="26"/>
  <c r="Q214" i="26"/>
  <c r="Q213" i="26"/>
  <c r="Q212" i="26"/>
  <c r="Q211" i="26"/>
  <c r="Q210" i="26"/>
  <c r="Q209" i="26"/>
  <c r="Q208" i="26"/>
  <c r="Q207" i="26"/>
  <c r="Q206" i="26"/>
  <c r="Q205" i="26"/>
  <c r="Q204" i="26"/>
  <c r="Q203" i="26"/>
  <c r="Q202" i="26"/>
  <c r="Q201" i="26"/>
  <c r="Q200" i="26"/>
  <c r="Q199" i="26"/>
  <c r="Q198" i="26"/>
  <c r="Q195" i="26"/>
  <c r="Q194" i="26"/>
  <c r="Q193" i="26"/>
  <c r="Q192" i="26"/>
  <c r="Q191" i="26"/>
  <c r="Q190" i="26"/>
  <c r="Q189" i="26"/>
  <c r="Q188" i="26"/>
  <c r="Q187" i="26"/>
  <c r="Q186" i="26"/>
  <c r="Q185" i="26"/>
  <c r="Q184" i="26"/>
  <c r="Q183" i="26"/>
  <c r="Q182" i="26"/>
  <c r="Q181" i="26"/>
  <c r="Q180" i="26"/>
  <c r="Q179" i="26"/>
  <c r="Q178" i="26"/>
  <c r="Q177" i="26"/>
  <c r="Q176" i="26"/>
  <c r="Q175" i="26"/>
  <c r="Q174" i="26"/>
  <c r="Q173" i="26"/>
  <c r="Q172" i="26"/>
  <c r="Q171" i="26"/>
  <c r="Q170" i="26"/>
  <c r="Q169" i="26"/>
  <c r="Q168" i="26"/>
  <c r="Q167" i="26"/>
  <c r="Q164" i="26"/>
  <c r="Q163" i="26"/>
  <c r="Q162" i="26"/>
  <c r="Q161" i="26"/>
  <c r="Q160" i="26"/>
  <c r="Q159" i="26"/>
  <c r="Q158" i="26"/>
  <c r="Q157" i="26"/>
  <c r="Q156" i="26"/>
  <c r="Q155" i="26"/>
  <c r="Q154" i="26"/>
  <c r="Q153" i="26"/>
  <c r="Q152" i="26"/>
  <c r="Q151" i="26"/>
  <c r="Q149" i="26"/>
  <c r="Q148" i="26"/>
  <c r="Q147" i="26"/>
  <c r="Q146" i="26"/>
  <c r="Q145" i="26"/>
  <c r="Q144" i="26"/>
  <c r="Q143" i="26"/>
  <c r="Q142" i="26"/>
  <c r="Q141" i="26"/>
  <c r="Q140" i="26"/>
  <c r="Q139" i="26"/>
  <c r="Q138" i="26"/>
  <c r="Q137" i="26"/>
  <c r="Q136" i="26"/>
  <c r="Q134" i="26"/>
  <c r="Q133" i="26"/>
  <c r="Q132" i="26"/>
  <c r="Q131" i="26"/>
  <c r="Q130" i="26"/>
  <c r="Q129" i="26"/>
  <c r="Q128" i="26"/>
  <c r="Q127" i="26"/>
  <c r="Q126" i="26"/>
  <c r="Q125" i="26"/>
  <c r="Q124" i="26"/>
  <c r="Q118" i="26"/>
  <c r="Q117" i="26"/>
  <c r="Q116" i="26"/>
  <c r="Q115" i="26"/>
  <c r="Q114" i="26"/>
  <c r="Q113" i="26"/>
  <c r="Q112" i="26"/>
  <c r="Q111" i="26"/>
  <c r="Q110" i="26"/>
  <c r="Q109" i="26"/>
  <c r="Q108" i="26"/>
  <c r="Q107" i="26"/>
  <c r="Q106" i="26"/>
  <c r="Q105" i="26"/>
  <c r="Q104" i="26"/>
  <c r="Q103" i="26"/>
  <c r="Q102" i="26"/>
  <c r="Q101" i="26"/>
  <c r="Q100" i="26"/>
  <c r="Q99" i="26"/>
  <c r="Q98" i="26"/>
  <c r="Q97" i="26"/>
  <c r="Q96" i="26"/>
  <c r="Q95" i="26"/>
  <c r="Q94" i="26"/>
  <c r="Q93" i="26"/>
  <c r="Q92" i="26"/>
  <c r="Q90" i="26"/>
  <c r="Q89" i="26"/>
  <c r="Q88" i="26"/>
  <c r="Q87" i="26"/>
  <c r="Q86" i="26"/>
  <c r="Q85" i="26"/>
  <c r="Q84" i="26"/>
  <c r="Q83" i="26"/>
  <c r="Q82" i="26"/>
  <c r="Q81" i="26"/>
  <c r="Q80" i="26"/>
  <c r="Q78" i="26"/>
  <c r="Q77" i="26"/>
  <c r="Q76" i="26"/>
  <c r="Q75" i="26"/>
  <c r="Q74" i="26"/>
  <c r="Q73" i="26"/>
  <c r="Q72" i="26"/>
  <c r="Q71" i="26"/>
  <c r="Q70" i="26"/>
  <c r="Q69" i="26"/>
  <c r="Q66" i="26"/>
  <c r="Q65" i="26"/>
  <c r="Q64" i="26"/>
  <c r="Q63" i="26"/>
  <c r="Q62" i="26"/>
  <c r="Q61" i="26"/>
  <c r="Q60" i="26"/>
  <c r="Q59" i="26"/>
  <c r="Q58" i="26"/>
  <c r="Q57" i="26"/>
  <c r="Q56" i="26"/>
  <c r="Q55" i="26"/>
  <c r="Q54" i="26"/>
  <c r="Q41" i="26"/>
  <c r="Q40" i="26"/>
  <c r="Q39" i="26"/>
  <c r="Q38" i="26"/>
  <c r="Q37" i="26"/>
  <c r="Q35" i="26"/>
  <c r="Q34" i="26"/>
  <c r="Q33" i="26"/>
  <c r="Q31" i="26"/>
  <c r="Q30" i="26"/>
  <c r="Q29" i="26"/>
  <c r="Q27" i="26"/>
  <c r="Q26" i="26"/>
  <c r="Q24" i="26"/>
  <c r="Q23" i="26"/>
  <c r="Q19" i="26"/>
  <c r="Q18" i="26"/>
  <c r="Q16" i="26"/>
  <c r="Q15" i="26"/>
  <c r="Q14" i="26"/>
  <c r="Q13" i="26"/>
  <c r="Q12" i="26"/>
  <c r="Q9" i="26"/>
  <c r="Q10" i="26"/>
  <c r="Q11" i="26"/>
  <c r="M70" i="27" l="1"/>
  <c r="M56" i="27"/>
  <c r="M42" i="27"/>
  <c r="M28" i="27"/>
  <c r="M14" i="27"/>
  <c r="M69" i="27"/>
  <c r="M55" i="27"/>
  <c r="M41" i="27"/>
  <c r="M27" i="27"/>
  <c r="M13" i="27"/>
  <c r="M68" i="27"/>
  <c r="M54" i="27"/>
  <c r="M40" i="27"/>
  <c r="M26" i="27"/>
  <c r="M81" i="27"/>
  <c r="M67" i="27"/>
  <c r="M53" i="27"/>
  <c r="M39" i="27"/>
  <c r="M25" i="27"/>
  <c r="M80" i="27"/>
  <c r="M66" i="27"/>
  <c r="M52" i="27"/>
  <c r="M38" i="27"/>
  <c r="M24" i="27"/>
  <c r="M79" i="27"/>
  <c r="M65" i="27"/>
  <c r="M51" i="27"/>
  <c r="M37" i="27"/>
  <c r="M23" i="27"/>
  <c r="M78" i="27"/>
  <c r="M64" i="27"/>
  <c r="M50" i="27"/>
  <c r="M36" i="27"/>
  <c r="M22" i="27"/>
  <c r="M77" i="27"/>
  <c r="M63" i="27"/>
  <c r="M49" i="27"/>
  <c r="M35" i="27"/>
  <c r="M21" i="27"/>
  <c r="M76" i="27"/>
  <c r="M62" i="27"/>
  <c r="M48" i="27"/>
  <c r="M34" i="27"/>
  <c r="M20" i="27"/>
  <c r="M75" i="27"/>
  <c r="M61" i="27"/>
  <c r="M47" i="27"/>
  <c r="M33" i="27"/>
  <c r="M19" i="27"/>
  <c r="M74" i="27"/>
  <c r="M60" i="27"/>
  <c r="M46" i="27"/>
  <c r="M32" i="27"/>
  <c r="M18" i="27"/>
  <c r="M73" i="27"/>
  <c r="M59" i="27"/>
  <c r="M45" i="27"/>
  <c r="M31" i="27"/>
  <c r="M17" i="27"/>
  <c r="M72" i="27"/>
  <c r="M58" i="27"/>
  <c r="M44" i="27"/>
  <c r="M30" i="27"/>
  <c r="M16" i="27"/>
  <c r="M71" i="27"/>
  <c r="M57" i="27"/>
  <c r="M43" i="27"/>
  <c r="M29" i="27"/>
  <c r="M15" i="27"/>
  <c r="L53" i="27"/>
  <c r="O53" i="27" s="1"/>
  <c r="L40" i="27"/>
  <c r="O40" i="27" s="1"/>
  <c r="P20" i="27"/>
  <c r="I28" i="15" s="1"/>
  <c r="T27" i="27"/>
  <c r="W27" i="27" s="1"/>
  <c r="L20" i="27"/>
  <c r="O20" i="27" s="1"/>
  <c r="N76" i="27"/>
  <c r="T67" i="27"/>
  <c r="W67" i="27" s="1"/>
  <c r="N62" i="27"/>
  <c r="Q60" i="27"/>
  <c r="S60" i="27" s="1"/>
  <c r="T45" i="27"/>
  <c r="W45" i="27" s="1"/>
  <c r="R67" i="27"/>
  <c r="L62" i="27"/>
  <c r="O62" i="27" s="1"/>
  <c r="T48" i="27"/>
  <c r="W48" i="27" s="1"/>
  <c r="N39" i="27"/>
  <c r="P37" i="27"/>
  <c r="P19" i="27"/>
  <c r="I27" i="15" s="1"/>
  <c r="T81" i="27"/>
  <c r="W81" i="27" s="1"/>
  <c r="L80" i="27"/>
  <c r="O80" i="27" s="1"/>
  <c r="P78" i="27"/>
  <c r="L75" i="27"/>
  <c r="O75" i="27" s="1"/>
  <c r="Q73" i="27"/>
  <c r="S73" i="27" s="1"/>
  <c r="T71" i="27"/>
  <c r="W71" i="27" s="1"/>
  <c r="Q68" i="27"/>
  <c r="S68" i="27" s="1"/>
  <c r="T66" i="27"/>
  <c r="W66" i="27" s="1"/>
  <c r="N65" i="27"/>
  <c r="R63" i="27"/>
  <c r="T62" i="27"/>
  <c r="W62" i="27" s="1"/>
  <c r="L61" i="27"/>
  <c r="O61" i="27" s="1"/>
  <c r="R59" i="27"/>
  <c r="L58" i="27"/>
  <c r="O58" i="27" s="1"/>
  <c r="P56" i="27"/>
  <c r="T49" i="27"/>
  <c r="W49" i="27" s="1"/>
  <c r="L48" i="27"/>
  <c r="O48" i="27" s="1"/>
  <c r="Q46" i="27"/>
  <c r="S46" i="27" s="1"/>
  <c r="P43" i="27"/>
  <c r="T41" i="27"/>
  <c r="W41" i="27" s="1"/>
  <c r="N38" i="27"/>
  <c r="T36" i="27"/>
  <c r="W36" i="27" s="1"/>
  <c r="V34" i="27"/>
  <c r="F42" i="15" s="1"/>
  <c r="G42" i="15" s="1"/>
  <c r="V32" i="27"/>
  <c r="F40" i="15" s="1"/>
  <c r="G40" i="15" s="1"/>
  <c r="N31" i="27"/>
  <c r="R29" i="27"/>
  <c r="L26" i="27"/>
  <c r="O26" i="27" s="1"/>
  <c r="P24" i="27"/>
  <c r="I32" i="15" s="1"/>
  <c r="L21" i="27"/>
  <c r="O21" i="27" s="1"/>
  <c r="T19" i="27"/>
  <c r="W19" i="27" s="1"/>
  <c r="Q69" i="27"/>
  <c r="S69" i="27" s="1"/>
  <c r="N47" i="27"/>
  <c r="P30" i="27"/>
  <c r="I38" i="15" s="1"/>
  <c r="L22" i="27"/>
  <c r="O22" i="27" s="1"/>
  <c r="L44" i="27"/>
  <c r="O44" i="27" s="1"/>
  <c r="R28" i="27"/>
  <c r="R81" i="27"/>
  <c r="T76" i="27"/>
  <c r="W76" i="27" s="1"/>
  <c r="P73" i="27"/>
  <c r="R71" i="27"/>
  <c r="L70" i="27"/>
  <c r="O70" i="27" s="1"/>
  <c r="P68" i="27"/>
  <c r="L65" i="27"/>
  <c r="O65" i="27" s="1"/>
  <c r="Q63" i="27"/>
  <c r="S63" i="27" s="1"/>
  <c r="Q59" i="27"/>
  <c r="S59" i="27" s="1"/>
  <c r="T52" i="27"/>
  <c r="W52" i="27" s="1"/>
  <c r="N51" i="27"/>
  <c r="R49" i="27"/>
  <c r="V47" i="27"/>
  <c r="P46" i="27"/>
  <c r="N43" i="27"/>
  <c r="R41" i="27"/>
  <c r="T39" i="27"/>
  <c r="W39" i="27" s="1"/>
  <c r="L38" i="27"/>
  <c r="O38" i="27" s="1"/>
  <c r="T34" i="27"/>
  <c r="W34" i="27" s="1"/>
  <c r="T32" i="27"/>
  <c r="W32" i="27" s="1"/>
  <c r="L31" i="27"/>
  <c r="O31" i="27" s="1"/>
  <c r="Q29" i="27"/>
  <c r="S29" i="27" s="1"/>
  <c r="T22" i="27"/>
  <c r="W22" i="27" s="1"/>
  <c r="Q18" i="27"/>
  <c r="S18" i="27" s="1"/>
  <c r="T79" i="27"/>
  <c r="W79" i="27" s="1"/>
  <c r="N78" i="27"/>
  <c r="R76" i="27"/>
  <c r="Q71" i="27"/>
  <c r="S71" i="27" s="1"/>
  <c r="R66" i="27"/>
  <c r="P63" i="27"/>
  <c r="R62" i="27"/>
  <c r="P59" i="27"/>
  <c r="T57" i="27"/>
  <c r="W57" i="27" s="1"/>
  <c r="N56" i="27"/>
  <c r="Q54" i="27"/>
  <c r="S54" i="27" s="1"/>
  <c r="R52" i="27"/>
  <c r="L51" i="27"/>
  <c r="O51" i="27" s="1"/>
  <c r="Q49" i="27"/>
  <c r="S49" i="27" s="1"/>
  <c r="T47" i="27"/>
  <c r="W47" i="27" s="1"/>
  <c r="N46" i="27"/>
  <c r="T44" i="27"/>
  <c r="W44" i="27" s="1"/>
  <c r="L43" i="27"/>
  <c r="O43" i="27" s="1"/>
  <c r="Q41" i="27"/>
  <c r="S41" i="27" s="1"/>
  <c r="R36" i="27"/>
  <c r="R34" i="27"/>
  <c r="P29" i="27"/>
  <c r="I37" i="15" s="1"/>
  <c r="L18" i="27"/>
  <c r="O18" i="27" s="1"/>
  <c r="L71" i="27"/>
  <c r="O71" i="27" s="1"/>
  <c r="L52" i="27"/>
  <c r="O52" i="27" s="1"/>
  <c r="R37" i="27"/>
  <c r="L32" i="27"/>
  <c r="O32" i="27" s="1"/>
  <c r="R72" i="27"/>
  <c r="T40" i="27"/>
  <c r="W40" i="27" s="1"/>
  <c r="L47" i="27"/>
  <c r="O47" i="27" s="1"/>
  <c r="Q81" i="27"/>
  <c r="S81" i="27" s="1"/>
  <c r="P81" i="27"/>
  <c r="L78" i="27"/>
  <c r="O78" i="27" s="1"/>
  <c r="Q76" i="27"/>
  <c r="S76" i="27" s="1"/>
  <c r="T74" i="27"/>
  <c r="W74" i="27" s="1"/>
  <c r="L73" i="27"/>
  <c r="O73" i="27" s="1"/>
  <c r="P71" i="27"/>
  <c r="L68" i="27"/>
  <c r="O68" i="27" s="1"/>
  <c r="Q66" i="27"/>
  <c r="S66" i="27" s="1"/>
  <c r="T64" i="27"/>
  <c r="W64" i="27" s="1"/>
  <c r="N63" i="27"/>
  <c r="Q62" i="27"/>
  <c r="S62" i="27" s="1"/>
  <c r="L56" i="27"/>
  <c r="O56" i="27" s="1"/>
  <c r="P54" i="27"/>
  <c r="Q52" i="27"/>
  <c r="S52" i="27" s="1"/>
  <c r="P49" i="27"/>
  <c r="R47" i="27"/>
  <c r="L46" i="27"/>
  <c r="O46" i="27" s="1"/>
  <c r="R44" i="27"/>
  <c r="P41" i="27"/>
  <c r="R39" i="27"/>
  <c r="Q36" i="27"/>
  <c r="S36" i="27" s="1"/>
  <c r="Q34" i="27"/>
  <c r="S34" i="27" s="1"/>
  <c r="Q32" i="27"/>
  <c r="S32" i="27" s="1"/>
  <c r="N29" i="27"/>
  <c r="R27" i="27"/>
  <c r="R22" i="27"/>
  <c r="R79" i="27"/>
  <c r="P76" i="27"/>
  <c r="R74" i="27"/>
  <c r="T69" i="27"/>
  <c r="W69" i="27" s="1"/>
  <c r="P66" i="27"/>
  <c r="R64" i="27"/>
  <c r="L63" i="27"/>
  <c r="O63" i="27" s="1"/>
  <c r="P62" i="27"/>
  <c r="T60" i="27"/>
  <c r="W60" i="27" s="1"/>
  <c r="N59" i="27"/>
  <c r="R57" i="27"/>
  <c r="P52" i="27"/>
  <c r="N49" i="27"/>
  <c r="Q47" i="27"/>
  <c r="S47" i="27" s="1"/>
  <c r="Q44" i="27"/>
  <c r="S44" i="27" s="1"/>
  <c r="N41" i="27"/>
  <c r="Q39" i="27"/>
  <c r="S39" i="27" s="1"/>
  <c r="T37" i="27"/>
  <c r="W37" i="27" s="1"/>
  <c r="P36" i="27"/>
  <c r="P34" i="27"/>
  <c r="P32" i="27"/>
  <c r="T30" i="27"/>
  <c r="W30" i="27" s="1"/>
  <c r="L29" i="27"/>
  <c r="O29" i="27" s="1"/>
  <c r="Q27" i="27"/>
  <c r="S27" i="27" s="1"/>
  <c r="R25" i="27"/>
  <c r="Q22" i="27"/>
  <c r="S22" i="27" s="1"/>
  <c r="V19" i="27"/>
  <c r="F27" i="15" s="1"/>
  <c r="G27" i="15" s="1"/>
  <c r="L59" i="27"/>
  <c r="O59" i="27" s="1"/>
  <c r="V55" i="27"/>
  <c r="L54" i="27"/>
  <c r="O54" i="27" s="1"/>
  <c r="N52" i="27"/>
  <c r="L49" i="27"/>
  <c r="O49" i="27" s="1"/>
  <c r="N81" i="27"/>
  <c r="L81" i="27"/>
  <c r="O81" i="27" s="1"/>
  <c r="Q79" i="27"/>
  <c r="S79" i="27" s="1"/>
  <c r="Q74" i="27"/>
  <c r="S74" i="27" s="1"/>
  <c r="T72" i="27"/>
  <c r="W72" i="27" s="1"/>
  <c r="R69" i="27"/>
  <c r="N66" i="27"/>
  <c r="Q64" i="27"/>
  <c r="S64" i="27" s="1"/>
  <c r="R60" i="27"/>
  <c r="Q57" i="27"/>
  <c r="S57" i="27" s="1"/>
  <c r="T50" i="27"/>
  <c r="W50" i="27" s="1"/>
  <c r="P44" i="27"/>
  <c r="T42" i="27"/>
  <c r="W42" i="27" s="1"/>
  <c r="L41" i="27"/>
  <c r="O41" i="27" s="1"/>
  <c r="P39" i="27"/>
  <c r="I47" i="15" s="1"/>
  <c r="N36" i="27"/>
  <c r="N34" i="27"/>
  <c r="N32" i="27"/>
  <c r="R30" i="27"/>
  <c r="P27" i="27"/>
  <c r="I35" i="15" s="1"/>
  <c r="Q25" i="27"/>
  <c r="S25" i="27" s="1"/>
  <c r="P22" i="27"/>
  <c r="I30" i="15" s="1"/>
  <c r="L66" i="27"/>
  <c r="O66" i="27" s="1"/>
  <c r="N27" i="27"/>
  <c r="N74" i="27"/>
  <c r="T53" i="27"/>
  <c r="W53" i="27" s="1"/>
  <c r="Q37" i="27"/>
  <c r="S37" i="27" s="1"/>
  <c r="T28" i="27"/>
  <c r="W28" i="27" s="1"/>
  <c r="T35" i="27"/>
  <c r="W35" i="27" s="1"/>
  <c r="T31" i="27"/>
  <c r="W31" i="27" s="1"/>
  <c r="P79" i="27"/>
  <c r="T80" i="27"/>
  <c r="W80" i="27" s="1"/>
  <c r="N79" i="27"/>
  <c r="R77" i="27"/>
  <c r="L74" i="27"/>
  <c r="O74" i="27" s="1"/>
  <c r="Q72" i="27"/>
  <c r="S72" i="27" s="1"/>
  <c r="Q67" i="27"/>
  <c r="S67" i="27" s="1"/>
  <c r="T65" i="27"/>
  <c r="W65" i="27" s="1"/>
  <c r="N64" i="27"/>
  <c r="N60" i="27"/>
  <c r="T58" i="27"/>
  <c r="W58" i="27" s="1"/>
  <c r="L57" i="27"/>
  <c r="O57" i="27" s="1"/>
  <c r="Q55" i="27"/>
  <c r="S55" i="27" s="1"/>
  <c r="R53" i="27"/>
  <c r="Q50" i="27"/>
  <c r="S50" i="27" s="1"/>
  <c r="R45" i="27"/>
  <c r="T33" i="27"/>
  <c r="W33" i="27" s="1"/>
  <c r="L79" i="27"/>
  <c r="O79" i="27" s="1"/>
  <c r="Q77" i="27"/>
  <c r="S77" i="27" s="1"/>
  <c r="T75" i="27"/>
  <c r="W75" i="27" s="1"/>
  <c r="P72" i="27"/>
  <c r="T70" i="27"/>
  <c r="W70" i="27" s="1"/>
  <c r="P67" i="27"/>
  <c r="L64" i="27"/>
  <c r="O64" i="27" s="1"/>
  <c r="T61" i="27"/>
  <c r="W61" i="27" s="1"/>
  <c r="L60" i="27"/>
  <c r="O60" i="27" s="1"/>
  <c r="R58" i="27"/>
  <c r="P55" i="27"/>
  <c r="Q53" i="27"/>
  <c r="S53" i="27" s="1"/>
  <c r="T51" i="27"/>
  <c r="W51" i="27" s="1"/>
  <c r="P50" i="27"/>
  <c r="R48" i="27"/>
  <c r="Q45" i="27"/>
  <c r="S45" i="27" s="1"/>
  <c r="R40" i="27"/>
  <c r="R35" i="27"/>
  <c r="R33" i="27"/>
  <c r="N30" i="27"/>
  <c r="Q28" i="27"/>
  <c r="S28" i="27" s="1"/>
  <c r="T26" i="27"/>
  <c r="W26" i="27" s="1"/>
  <c r="L25" i="27"/>
  <c r="O25" i="27" s="1"/>
  <c r="Q23" i="27"/>
  <c r="S23" i="27" s="1"/>
  <c r="T21" i="27"/>
  <c r="W21" i="27" s="1"/>
  <c r="V20" i="27"/>
  <c r="F28" i="15" s="1"/>
  <c r="G28" i="15" s="1"/>
  <c r="T73" i="27"/>
  <c r="W73" i="27" s="1"/>
  <c r="T56" i="27"/>
  <c r="W56" i="27" s="1"/>
  <c r="R51" i="27"/>
  <c r="P48" i="27"/>
  <c r="Q31" i="27"/>
  <c r="S31" i="27" s="1"/>
  <c r="V18" i="27"/>
  <c r="F26" i="15" s="1"/>
  <c r="G26" i="15" s="1"/>
  <c r="T18" i="27"/>
  <c r="N75" i="27"/>
  <c r="T54" i="27"/>
  <c r="W54" i="27" s="1"/>
  <c r="R46" i="27"/>
  <c r="Q43" i="27"/>
  <c r="S43" i="27" s="1"/>
  <c r="Q30" i="27"/>
  <c r="S30" i="27" s="1"/>
  <c r="L76" i="27"/>
  <c r="O76" i="27" s="1"/>
  <c r="R80" i="27"/>
  <c r="P77" i="27"/>
  <c r="R75" i="27"/>
  <c r="V73" i="27"/>
  <c r="L69" i="27"/>
  <c r="O69" i="27" s="1"/>
  <c r="N67" i="27"/>
  <c r="R65" i="27"/>
  <c r="R61" i="27"/>
  <c r="Q58" i="27"/>
  <c r="S58" i="27" s="1"/>
  <c r="P53" i="27"/>
  <c r="N50" i="27"/>
  <c r="Q48" i="27"/>
  <c r="S48" i="27" s="1"/>
  <c r="P45" i="27"/>
  <c r="T43" i="27"/>
  <c r="W43" i="27" s="1"/>
  <c r="N42" i="27"/>
  <c r="Q40" i="27"/>
  <c r="S40" i="27" s="1"/>
  <c r="T38" i="27"/>
  <c r="W38" i="27" s="1"/>
  <c r="N37" i="27"/>
  <c r="Q35" i="27"/>
  <c r="S35" i="27" s="1"/>
  <c r="Q33" i="27"/>
  <c r="S33" i="27" s="1"/>
  <c r="R31" i="27"/>
  <c r="L30" i="27"/>
  <c r="O30" i="27" s="1"/>
  <c r="P28" i="27"/>
  <c r="I36" i="15" s="1"/>
  <c r="R26" i="27"/>
  <c r="P23" i="27"/>
  <c r="I31" i="15" s="1"/>
  <c r="R21" i="27"/>
  <c r="T20" i="27"/>
  <c r="W20" i="27" s="1"/>
  <c r="L19" i="27"/>
  <c r="O19" i="27" s="1"/>
  <c r="P40" i="27"/>
  <c r="L37" i="27"/>
  <c r="O37" i="27" s="1"/>
  <c r="P33" i="27"/>
  <c r="Q26" i="27"/>
  <c r="S26" i="27" s="1"/>
  <c r="T24" i="27"/>
  <c r="W24" i="27" s="1"/>
  <c r="Q21" i="27"/>
  <c r="S21" i="27" s="1"/>
  <c r="P21" i="27"/>
  <c r="I29" i="15" s="1"/>
  <c r="Q78" i="27"/>
  <c r="S78" i="27" s="1"/>
  <c r="N58" i="27"/>
  <c r="L45" i="27"/>
  <c r="O45" i="27" s="1"/>
  <c r="L35" i="27"/>
  <c r="O35" i="27" s="1"/>
  <c r="Q24" i="27"/>
  <c r="S24" i="27" s="1"/>
  <c r="P18" i="27"/>
  <c r="I26" i="15" s="1"/>
  <c r="P74" i="27"/>
  <c r="P57" i="27"/>
  <c r="P25" i="27"/>
  <c r="I33" i="15" s="1"/>
  <c r="N57" i="27"/>
  <c r="Q42" i="27"/>
  <c r="S42" i="27" s="1"/>
  <c r="Q80" i="27"/>
  <c r="S80" i="27" s="1"/>
  <c r="T78" i="27"/>
  <c r="W78" i="27" s="1"/>
  <c r="N77" i="27"/>
  <c r="Q75" i="27"/>
  <c r="S75" i="27" s="1"/>
  <c r="R70" i="27"/>
  <c r="L67" i="27"/>
  <c r="O67" i="27" s="1"/>
  <c r="Q65" i="27"/>
  <c r="S65" i="27" s="1"/>
  <c r="Q61" i="27"/>
  <c r="S61" i="27" s="1"/>
  <c r="P58" i="27"/>
  <c r="L55" i="27"/>
  <c r="O55" i="27" s="1"/>
  <c r="L50" i="27"/>
  <c r="O50" i="27" s="1"/>
  <c r="L42" i="27"/>
  <c r="O42" i="27" s="1"/>
  <c r="P35" i="27"/>
  <c r="N80" i="27"/>
  <c r="R68" i="27"/>
  <c r="N61" i="27"/>
  <c r="P51" i="27"/>
  <c r="L33" i="27"/>
  <c r="O33" i="27" s="1"/>
  <c r="T25" i="27"/>
  <c r="W25" i="27" s="1"/>
  <c r="T77" i="27"/>
  <c r="W77" i="27" s="1"/>
  <c r="R42" i="27"/>
  <c r="L34" i="27"/>
  <c r="O34" i="27" s="1"/>
  <c r="T23" i="27"/>
  <c r="W23" i="27" s="1"/>
  <c r="P60" i="27"/>
  <c r="R50" i="27"/>
  <c r="L27" i="27"/>
  <c r="O27" i="27" s="1"/>
  <c r="P42" i="27"/>
  <c r="P80" i="27"/>
  <c r="R78" i="27"/>
  <c r="L77" i="27"/>
  <c r="O77" i="27" s="1"/>
  <c r="P75" i="27"/>
  <c r="L72" i="27"/>
  <c r="O72" i="27" s="1"/>
  <c r="Q70" i="27"/>
  <c r="S70" i="27" s="1"/>
  <c r="T68" i="27"/>
  <c r="W68" i="27" s="1"/>
  <c r="P65" i="27"/>
  <c r="T63" i="27"/>
  <c r="W63" i="27" s="1"/>
  <c r="P61" i="27"/>
  <c r="T59" i="27"/>
  <c r="W59" i="27" s="1"/>
  <c r="R56" i="27"/>
  <c r="V54" i="27"/>
  <c r="N53" i="27"/>
  <c r="Q51" i="27"/>
  <c r="S51" i="27" s="1"/>
  <c r="T46" i="27"/>
  <c r="W46" i="27" s="1"/>
  <c r="N45" i="27"/>
  <c r="N40" i="27"/>
  <c r="Q38" i="27"/>
  <c r="S38" i="27" s="1"/>
  <c r="N35" i="27"/>
  <c r="N33" i="27"/>
  <c r="P31" i="27"/>
  <c r="I39" i="15" s="1"/>
  <c r="T29" i="27"/>
  <c r="W29" i="27" s="1"/>
  <c r="N28" i="27"/>
  <c r="P26" i="27"/>
  <c r="I34" i="15" s="1"/>
  <c r="R24" i="27"/>
  <c r="L23" i="27"/>
  <c r="O23" i="27" s="1"/>
  <c r="Q20" i="27"/>
  <c r="S20" i="27" s="1"/>
  <c r="R73" i="27"/>
  <c r="P70" i="27"/>
  <c r="Q56" i="27"/>
  <c r="S56" i="27" s="1"/>
  <c r="N48" i="27"/>
  <c r="P38" i="27"/>
  <c r="L28" i="27"/>
  <c r="O28" i="27" s="1"/>
  <c r="R32" i="27"/>
  <c r="L24" i="27"/>
  <c r="O24" i="27" s="1"/>
  <c r="P64" i="27"/>
  <c r="T55" i="27"/>
  <c r="W55" i="27" s="1"/>
  <c r="L36" i="27"/>
  <c r="O36" i="27" s="1"/>
  <c r="P69" i="27"/>
  <c r="N44" i="27"/>
  <c r="V33" i="27"/>
  <c r="F41" i="15" s="1"/>
  <c r="G41" i="15" s="1"/>
  <c r="Q19" i="27"/>
  <c r="S19" i="27" s="1"/>
  <c r="L39" i="27"/>
  <c r="O39" i="27" s="1"/>
  <c r="R23" i="27"/>
  <c r="P47" i="27"/>
  <c r="N13" i="27"/>
  <c r="P15" i="27"/>
  <c r="I23" i="15" s="1"/>
  <c r="Q15" i="27"/>
  <c r="S15" i="27" s="1"/>
  <c r="T16" i="27"/>
  <c r="L14" i="27"/>
  <c r="O14" i="27" s="1"/>
  <c r="Q17" i="27"/>
  <c r="S17" i="27" s="1"/>
  <c r="T14" i="27"/>
  <c r="P14" i="27"/>
  <c r="I22" i="15" s="1"/>
  <c r="L17" i="27"/>
  <c r="O17" i="27" s="1"/>
  <c r="P17" i="27"/>
  <c r="I25" i="15" s="1"/>
  <c r="Q14" i="27"/>
  <c r="S14" i="27" s="1"/>
  <c r="T15" i="27"/>
  <c r="L16" i="27"/>
  <c r="O16" i="27" s="1"/>
  <c r="N17" i="27"/>
  <c r="L15" i="27"/>
  <c r="O15" i="27" s="1"/>
  <c r="R17" i="27"/>
  <c r="P16" i="27"/>
  <c r="I24" i="15" s="1"/>
  <c r="Q16" i="27"/>
  <c r="S16" i="27" s="1"/>
  <c r="T17" i="27"/>
  <c r="T13" i="27"/>
  <c r="L13" i="27"/>
  <c r="O13" i="27" s="1"/>
  <c r="P13" i="27"/>
  <c r="Q13" i="27"/>
  <c r="S13" i="27" s="1"/>
  <c r="D126" i="27" l="1"/>
  <c r="E126" i="27" s="1"/>
  <c r="I108" i="27" s="1"/>
  <c r="D125" i="27"/>
  <c r="E125" i="27" s="1"/>
  <c r="I107" i="27" s="1"/>
  <c r="I21" i="15"/>
  <c r="K47" i="27"/>
  <c r="U47" i="27"/>
  <c r="X47" i="27"/>
  <c r="Y47" i="27"/>
  <c r="K73" i="27"/>
  <c r="Y73" i="27"/>
  <c r="W18" i="27"/>
  <c r="M12" i="31" s="1"/>
  <c r="K12" i="31"/>
  <c r="K33" i="27"/>
  <c r="U33" i="27"/>
  <c r="Y33" i="27"/>
  <c r="X33" i="27"/>
  <c r="U32" i="27"/>
  <c r="X32" i="27"/>
  <c r="Y32" i="27"/>
  <c r="K32" i="27"/>
  <c r="K55" i="27"/>
  <c r="Y55" i="27"/>
  <c r="X34" i="27"/>
  <c r="K34" i="27"/>
  <c r="Y34" i="27"/>
  <c r="U34" i="27"/>
  <c r="Y54" i="27"/>
  <c r="K54" i="27"/>
  <c r="K19" i="27"/>
  <c r="H27" i="15" s="1"/>
  <c r="Y19" i="27"/>
  <c r="Y18" i="27"/>
  <c r="K18" i="27"/>
  <c r="H26" i="15" s="1"/>
  <c r="L12" i="31"/>
  <c r="K20" i="27"/>
  <c r="H28" i="15" s="1"/>
  <c r="Y20" i="27"/>
  <c r="K9" i="31"/>
  <c r="K8" i="31"/>
  <c r="K10" i="31"/>
  <c r="K11" i="31"/>
  <c r="E127" i="27"/>
  <c r="I109" i="27" s="1"/>
  <c r="D120" i="27"/>
  <c r="E120" i="27" s="1"/>
  <c r="I102" i="27" s="1"/>
  <c r="D121" i="27"/>
  <c r="E121" i="27" s="1"/>
  <c r="I103" i="27" s="1"/>
  <c r="D124" i="27"/>
  <c r="E124" i="27" s="1"/>
  <c r="I106" i="27" s="1"/>
  <c r="D123" i="27"/>
  <c r="E123" i="27" s="1"/>
  <c r="I105" i="27" s="1"/>
  <c r="D122" i="27"/>
  <c r="E122" i="27" s="1"/>
  <c r="I104" i="27" s="1"/>
  <c r="W17" i="27"/>
  <c r="W16" i="27"/>
  <c r="W13" i="27"/>
  <c r="K7" i="31"/>
  <c r="W15" i="27"/>
  <c r="W14" i="27"/>
  <c r="B14" i="27"/>
  <c r="B15" i="27" s="1"/>
  <c r="B16" i="27" s="1"/>
  <c r="B17" i="27" s="1"/>
  <c r="B18" i="27" s="1"/>
  <c r="B19" i="27" s="1"/>
  <c r="B20" i="27" s="1"/>
  <c r="B21" i="27" l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40" i="27" s="1"/>
  <c r="B41" i="27" s="1"/>
  <c r="B42" i="27" s="1"/>
  <c r="B43" i="27" s="1"/>
  <c r="B44" i="27" s="1"/>
  <c r="B45" i="27" s="1"/>
  <c r="B46" i="27" s="1"/>
  <c r="B47" i="27" s="1"/>
  <c r="B48" i="27" s="1"/>
  <c r="B49" i="27" s="1"/>
  <c r="B50" i="27" s="1"/>
  <c r="B51" i="27" s="1"/>
  <c r="B52" i="27" s="1"/>
  <c r="B53" i="27" s="1"/>
  <c r="B54" i="27" s="1"/>
  <c r="B55" i="27" s="1"/>
  <c r="B56" i="27" s="1"/>
  <c r="B57" i="27" s="1"/>
  <c r="B58" i="27" s="1"/>
  <c r="B59" i="27" s="1"/>
  <c r="B60" i="27" s="1"/>
  <c r="B61" i="27" s="1"/>
  <c r="B62" i="27" s="1"/>
  <c r="M8" i="31"/>
  <c r="M9" i="31"/>
  <c r="M10" i="31"/>
  <c r="M11" i="31"/>
  <c r="M7" i="31"/>
  <c r="I5" i="26"/>
  <c r="O5" i="26" s="1"/>
  <c r="P5" i="26" s="1"/>
  <c r="B63" i="27" l="1"/>
  <c r="B64" i="27" s="1"/>
  <c r="B65" i="27" s="1"/>
  <c r="B66" i="27" s="1"/>
  <c r="B67" i="27" s="1"/>
  <c r="B68" i="27" s="1"/>
  <c r="B69" i="27" s="1"/>
  <c r="B70" i="27" s="1"/>
  <c r="B71" i="27" s="1"/>
  <c r="B72" i="27" s="1"/>
  <c r="B73" i="27" s="1"/>
  <c r="B74" i="27" s="1"/>
  <c r="B75" i="27" s="1"/>
  <c r="B76" i="27" s="1"/>
  <c r="B77" i="27" s="1"/>
  <c r="B78" i="27" s="1"/>
  <c r="B79" i="27" s="1"/>
  <c r="B80" i="27" s="1"/>
  <c r="B81" i="27" s="1"/>
  <c r="B82" i="27" s="1"/>
  <c r="B83" i="27" s="1"/>
  <c r="B84" i="27" s="1"/>
  <c r="B85" i="27" s="1"/>
  <c r="B86" i="27" s="1"/>
  <c r="B87" i="27" s="1"/>
  <c r="B88" i="27" s="1"/>
  <c r="B89" i="27" s="1"/>
  <c r="B90" i="27" s="1"/>
  <c r="B91" i="27" s="1"/>
  <c r="B92" i="27" s="1"/>
  <c r="B93" i="27" s="1"/>
  <c r="B94" i="27" s="1"/>
  <c r="B95" i="27" s="1"/>
  <c r="B96" i="27" s="1"/>
  <c r="B97" i="27" s="1"/>
  <c r="B98" i="27" s="1"/>
  <c r="B99" i="27" s="1"/>
  <c r="W103" i="27"/>
  <c r="Y103" i="27"/>
  <c r="F262" i="26"/>
  <c r="G262" i="26" s="1"/>
  <c r="F259" i="26"/>
  <c r="G259" i="26" s="1"/>
  <c r="F258" i="26"/>
  <c r="G258" i="26" s="1"/>
  <c r="K23" i="26" s="1"/>
  <c r="F257" i="26"/>
  <c r="G257" i="26" s="1"/>
  <c r="F254" i="26"/>
  <c r="G254" i="26" s="1"/>
  <c r="F253" i="26"/>
  <c r="F252" i="26"/>
  <c r="G252" i="26" s="1"/>
  <c r="F251" i="26"/>
  <c r="G251" i="26" s="1"/>
  <c r="F250" i="26"/>
  <c r="G250" i="26" s="1"/>
  <c r="F249" i="26"/>
  <c r="G249" i="26" s="1"/>
  <c r="F248" i="26"/>
  <c r="G248" i="26" s="1"/>
  <c r="F247" i="26"/>
  <c r="G247" i="26" s="1"/>
  <c r="F246" i="26"/>
  <c r="G246" i="26" s="1"/>
  <c r="F245" i="26"/>
  <c r="G245" i="26" s="1"/>
  <c r="F244" i="26"/>
  <c r="G244" i="26" s="1"/>
  <c r="F243" i="26"/>
  <c r="G243" i="26" s="1"/>
  <c r="F242" i="26"/>
  <c r="G242" i="26" s="1"/>
  <c r="F241" i="26"/>
  <c r="G241" i="26" s="1"/>
  <c r="F240" i="26"/>
  <c r="G240" i="26" s="1"/>
  <c r="F239" i="26"/>
  <c r="G239" i="26" s="1"/>
  <c r="F238" i="26"/>
  <c r="G238" i="26" s="1"/>
  <c r="F237" i="26"/>
  <c r="G237" i="26" s="1"/>
  <c r="F236" i="26"/>
  <c r="G236" i="26" s="1"/>
  <c r="F235" i="26"/>
  <c r="G235" i="26" s="1"/>
  <c r="F234" i="26"/>
  <c r="G234" i="26" s="1"/>
  <c r="F227" i="26"/>
  <c r="G227" i="26" s="1"/>
  <c r="F226" i="26"/>
  <c r="F225" i="26"/>
  <c r="G225" i="26" s="1"/>
  <c r="F224" i="26"/>
  <c r="F223" i="26"/>
  <c r="G223" i="26" s="1"/>
  <c r="F222" i="26"/>
  <c r="F221" i="26"/>
  <c r="G221" i="26" s="1"/>
  <c r="F220" i="26"/>
  <c r="G220" i="26" s="1"/>
  <c r="F219" i="26"/>
  <c r="G219" i="26" s="1"/>
  <c r="F218" i="26"/>
  <c r="G218" i="26" s="1"/>
  <c r="F217" i="26"/>
  <c r="G217" i="26" s="1"/>
  <c r="F216" i="26"/>
  <c r="F215" i="26"/>
  <c r="G215" i="26" s="1"/>
  <c r="F214" i="26"/>
  <c r="G214" i="26" s="1"/>
  <c r="F213" i="26"/>
  <c r="G213" i="26" s="1"/>
  <c r="F212" i="26"/>
  <c r="G212" i="26" s="1"/>
  <c r="F211" i="26"/>
  <c r="G211" i="26" s="1"/>
  <c r="F210" i="26"/>
  <c r="G210" i="26" s="1"/>
  <c r="F209" i="26"/>
  <c r="F208" i="26"/>
  <c r="G208" i="26" s="1"/>
  <c r="F207" i="26"/>
  <c r="G207" i="26" s="1"/>
  <c r="F206" i="26"/>
  <c r="G206" i="26" s="1"/>
  <c r="F205" i="26"/>
  <c r="G205" i="26" s="1"/>
  <c r="F204" i="26"/>
  <c r="G204" i="26" s="1"/>
  <c r="F203" i="26"/>
  <c r="G203" i="26" s="1"/>
  <c r="F202" i="26"/>
  <c r="G202" i="26" s="1"/>
  <c r="F201" i="26"/>
  <c r="F200" i="26"/>
  <c r="G200" i="26" s="1"/>
  <c r="F199" i="26"/>
  <c r="G199" i="26" s="1"/>
  <c r="F198" i="26"/>
  <c r="G198" i="26" s="1"/>
  <c r="F182" i="26"/>
  <c r="G182" i="26" s="1"/>
  <c r="F181" i="26"/>
  <c r="G181" i="26" s="1"/>
  <c r="F180" i="26"/>
  <c r="G180" i="26" s="1"/>
  <c r="F179" i="26"/>
  <c r="G179" i="26" s="1"/>
  <c r="F178" i="26"/>
  <c r="G178" i="26" s="1"/>
  <c r="F177" i="26"/>
  <c r="G177" i="26" s="1"/>
  <c r="F176" i="26"/>
  <c r="G176" i="26" s="1"/>
  <c r="F175" i="26"/>
  <c r="G175" i="26" s="1"/>
  <c r="F174" i="26"/>
  <c r="G174" i="26" s="1"/>
  <c r="F173" i="26"/>
  <c r="G173" i="26" s="1"/>
  <c r="F172" i="26"/>
  <c r="G172" i="26" s="1"/>
  <c r="F171" i="26"/>
  <c r="G171" i="26" s="1"/>
  <c r="F170" i="26"/>
  <c r="G170" i="26" s="1"/>
  <c r="F169" i="26"/>
  <c r="G169" i="26" s="1"/>
  <c r="F168" i="26"/>
  <c r="G168" i="26" s="1"/>
  <c r="F167" i="26"/>
  <c r="G167" i="26" s="1"/>
  <c r="F164" i="26"/>
  <c r="G164" i="26" s="1"/>
  <c r="F163" i="26"/>
  <c r="G163" i="26" s="1"/>
  <c r="F162" i="26"/>
  <c r="F161" i="26"/>
  <c r="G161" i="26" s="1"/>
  <c r="F160" i="26"/>
  <c r="G160" i="26" s="1"/>
  <c r="V38" i="27" s="1"/>
  <c r="F46" i="15" s="1"/>
  <c r="G46" i="15" s="1"/>
  <c r="F159" i="26"/>
  <c r="G159" i="26" s="1"/>
  <c r="F158" i="26"/>
  <c r="G158" i="26" s="1"/>
  <c r="F157" i="26"/>
  <c r="G157" i="26" s="1"/>
  <c r="F156" i="26"/>
  <c r="G156" i="26" s="1"/>
  <c r="F155" i="26"/>
  <c r="G155" i="26" s="1"/>
  <c r="F154" i="26"/>
  <c r="G154" i="26" s="1"/>
  <c r="F153" i="26"/>
  <c r="G153" i="26" s="1"/>
  <c r="F152" i="26"/>
  <c r="G152" i="26" s="1"/>
  <c r="F151" i="26"/>
  <c r="G151" i="26" s="1"/>
  <c r="F149" i="26"/>
  <c r="G149" i="26" s="1"/>
  <c r="F148" i="26"/>
  <c r="G148" i="26" s="1"/>
  <c r="F147" i="26"/>
  <c r="G147" i="26" s="1"/>
  <c r="F146" i="26"/>
  <c r="G146" i="26" s="1"/>
  <c r="F145" i="26"/>
  <c r="G145" i="26" s="1"/>
  <c r="F144" i="26"/>
  <c r="G144" i="26" s="1"/>
  <c r="F143" i="26"/>
  <c r="G143" i="26" s="1"/>
  <c r="F142" i="26"/>
  <c r="G142" i="26" s="1"/>
  <c r="F141" i="26"/>
  <c r="G141" i="26" s="1"/>
  <c r="F140" i="26"/>
  <c r="F139" i="26"/>
  <c r="G139" i="26" s="1"/>
  <c r="F138" i="26"/>
  <c r="F137" i="26"/>
  <c r="G137" i="26" s="1"/>
  <c r="F136" i="26"/>
  <c r="G136" i="26" s="1"/>
  <c r="F134" i="26"/>
  <c r="G134" i="26" s="1"/>
  <c r="F133" i="26"/>
  <c r="G133" i="26" s="1"/>
  <c r="F132" i="26"/>
  <c r="F131" i="26"/>
  <c r="G131" i="26" s="1"/>
  <c r="F130" i="26"/>
  <c r="F129" i="26"/>
  <c r="G129" i="26" s="1"/>
  <c r="F128" i="26"/>
  <c r="F127" i="26"/>
  <c r="G127" i="26" s="1"/>
  <c r="F126" i="26"/>
  <c r="F125" i="26"/>
  <c r="G125" i="26" s="1"/>
  <c r="F124" i="26"/>
  <c r="F118" i="26"/>
  <c r="G118" i="26" s="1"/>
  <c r="F117" i="26"/>
  <c r="G117" i="26" s="1"/>
  <c r="F116" i="26"/>
  <c r="G116" i="26" s="1"/>
  <c r="F115" i="26"/>
  <c r="G115" i="26" s="1"/>
  <c r="F114" i="26"/>
  <c r="G114" i="26" s="1"/>
  <c r="F113" i="26"/>
  <c r="G113" i="26" s="1"/>
  <c r="F112" i="26"/>
  <c r="G112" i="26" s="1"/>
  <c r="F111" i="26"/>
  <c r="G111" i="26" s="1"/>
  <c r="F110" i="26"/>
  <c r="G110" i="26" s="1"/>
  <c r="F109" i="26"/>
  <c r="G109" i="26" s="1"/>
  <c r="F108" i="26"/>
  <c r="G108" i="26" s="1"/>
  <c r="F107" i="26"/>
  <c r="G107" i="26" s="1"/>
  <c r="F106" i="26"/>
  <c r="G106" i="26" s="1"/>
  <c r="F105" i="26"/>
  <c r="G105" i="26" s="1"/>
  <c r="F104" i="26"/>
  <c r="G104" i="26" s="1"/>
  <c r="F103" i="26"/>
  <c r="G103" i="26" s="1"/>
  <c r="F102" i="26"/>
  <c r="G102" i="26" s="1"/>
  <c r="F101" i="26"/>
  <c r="G101" i="26" s="1"/>
  <c r="F100" i="26"/>
  <c r="G100" i="26" s="1"/>
  <c r="F99" i="26"/>
  <c r="G99" i="26" s="1"/>
  <c r="F98" i="26"/>
  <c r="G98" i="26" s="1"/>
  <c r="F97" i="26"/>
  <c r="G97" i="26" s="1"/>
  <c r="F96" i="26"/>
  <c r="G96" i="26" s="1"/>
  <c r="F95" i="26"/>
  <c r="G95" i="26" s="1"/>
  <c r="F94" i="26"/>
  <c r="G94" i="26" s="1"/>
  <c r="F93" i="26"/>
  <c r="G93" i="26" s="1"/>
  <c r="F92" i="26"/>
  <c r="G92" i="26" s="1"/>
  <c r="F90" i="26"/>
  <c r="G90" i="26" s="1"/>
  <c r="F89" i="26"/>
  <c r="G89" i="26" s="1"/>
  <c r="F88" i="26"/>
  <c r="G88" i="26" s="1"/>
  <c r="F87" i="26"/>
  <c r="G87" i="26" s="1"/>
  <c r="F86" i="26"/>
  <c r="G86" i="26" s="1"/>
  <c r="F85" i="26"/>
  <c r="G85" i="26" s="1"/>
  <c r="F84" i="26"/>
  <c r="G84" i="26" s="1"/>
  <c r="F83" i="26"/>
  <c r="G83" i="26" s="1"/>
  <c r="F82" i="26"/>
  <c r="G82" i="26" s="1"/>
  <c r="F81" i="26"/>
  <c r="G81" i="26" s="1"/>
  <c r="F80" i="26"/>
  <c r="G80" i="26" s="1"/>
  <c r="F78" i="26"/>
  <c r="G78" i="26" s="1"/>
  <c r="F77" i="26"/>
  <c r="G77" i="26" s="1"/>
  <c r="F76" i="26"/>
  <c r="G76" i="26" s="1"/>
  <c r="F75" i="26"/>
  <c r="G75" i="26" s="1"/>
  <c r="F74" i="26"/>
  <c r="G74" i="26" s="1"/>
  <c r="F73" i="26"/>
  <c r="G73" i="26" s="1"/>
  <c r="F72" i="26"/>
  <c r="G72" i="26" s="1"/>
  <c r="F71" i="26"/>
  <c r="G71" i="26" s="1"/>
  <c r="F70" i="26"/>
  <c r="G70" i="26" s="1"/>
  <c r="F69" i="26"/>
  <c r="G69" i="26" s="1"/>
  <c r="F66" i="26"/>
  <c r="G66" i="26" s="1"/>
  <c r="F65" i="26"/>
  <c r="F64" i="26"/>
  <c r="G64" i="26" s="1"/>
  <c r="F63" i="26"/>
  <c r="G63" i="26" s="1"/>
  <c r="F62" i="26"/>
  <c r="F61" i="26"/>
  <c r="G61" i="26" s="1"/>
  <c r="F60" i="26"/>
  <c r="F59" i="26"/>
  <c r="G59" i="26" s="1"/>
  <c r="F58" i="26"/>
  <c r="F57" i="26"/>
  <c r="G57" i="26" s="1"/>
  <c r="F56" i="26"/>
  <c r="F55" i="26"/>
  <c r="G55" i="26" s="1"/>
  <c r="F54" i="26"/>
  <c r="F41" i="26"/>
  <c r="G41" i="26" s="1"/>
  <c r="F40" i="26"/>
  <c r="G40" i="26" s="1"/>
  <c r="F39" i="26"/>
  <c r="G39" i="26" s="1"/>
  <c r="F38" i="26"/>
  <c r="G38" i="26" s="1"/>
  <c r="F37" i="26"/>
  <c r="G37" i="26" s="1"/>
  <c r="F35" i="26"/>
  <c r="G35" i="26" s="1"/>
  <c r="F34" i="26"/>
  <c r="G34" i="26" s="1"/>
  <c r="F33" i="26"/>
  <c r="G33" i="26" s="1"/>
  <c r="F31" i="26"/>
  <c r="G31" i="26" s="1"/>
  <c r="F30" i="26"/>
  <c r="G30" i="26" s="1"/>
  <c r="F29" i="26"/>
  <c r="G29" i="26" s="1"/>
  <c r="F27" i="26"/>
  <c r="G27" i="26" s="1"/>
  <c r="F26" i="26"/>
  <c r="G26" i="26" s="1"/>
  <c r="F24" i="26"/>
  <c r="G24" i="26" s="1"/>
  <c r="F23" i="26"/>
  <c r="G23" i="26" s="1"/>
  <c r="F19" i="26"/>
  <c r="G19" i="26" s="1"/>
  <c r="F18" i="26"/>
  <c r="G18" i="26" s="1"/>
  <c r="F16" i="26"/>
  <c r="G16" i="26" s="1"/>
  <c r="F15" i="26"/>
  <c r="G15" i="26" s="1"/>
  <c r="F14" i="26"/>
  <c r="G14" i="26" s="1"/>
  <c r="F13" i="26"/>
  <c r="G13" i="26" s="1"/>
  <c r="F12" i="26"/>
  <c r="G12" i="26" s="1"/>
  <c r="F11" i="26"/>
  <c r="G11" i="26" s="1"/>
  <c r="F10" i="26"/>
  <c r="F9" i="26"/>
  <c r="G9" i="26" s="1"/>
  <c r="V58" i="27" l="1"/>
  <c r="V80" i="27"/>
  <c r="V41" i="27"/>
  <c r="F49" i="15" s="1"/>
  <c r="G49" i="15" s="1"/>
  <c r="V75" i="27"/>
  <c r="K38" i="27"/>
  <c r="H46" i="15" s="1"/>
  <c r="Y38" i="27"/>
  <c r="V74" i="27"/>
  <c r="V40" i="27"/>
  <c r="F48" i="15" s="1"/>
  <c r="G48" i="15" s="1"/>
  <c r="V79" i="27"/>
  <c r="V56" i="27"/>
  <c r="V52" i="27"/>
  <c r="V31" i="27"/>
  <c r="F39" i="15" s="1"/>
  <c r="G39" i="15" s="1"/>
  <c r="V37" i="27"/>
  <c r="F45" i="15" s="1"/>
  <c r="G45" i="15" s="1"/>
  <c r="V62" i="27"/>
  <c r="V65" i="27"/>
  <c r="V50" i="27"/>
  <c r="V81" i="27"/>
  <c r="V76" i="27"/>
  <c r="V42" i="27"/>
  <c r="V59" i="27"/>
  <c r="V46" i="27"/>
  <c r="V61" i="27"/>
  <c r="V36" i="27"/>
  <c r="F44" i="15" s="1"/>
  <c r="G44" i="15" s="1"/>
  <c r="V53" i="27"/>
  <c r="V57" i="27"/>
  <c r="V63" i="27"/>
  <c r="V48" i="27"/>
  <c r="V51" i="27"/>
  <c r="V78" i="27"/>
  <c r="V44" i="27"/>
  <c r="V29" i="27"/>
  <c r="F37" i="15" s="1"/>
  <c r="G37" i="15" s="1"/>
  <c r="V67" i="27"/>
  <c r="K135" i="26"/>
  <c r="N73" i="27" s="1"/>
  <c r="K134" i="26"/>
  <c r="K133" i="26"/>
  <c r="K126" i="26"/>
  <c r="N69" i="27" s="1"/>
  <c r="K54" i="26"/>
  <c r="N21" i="27" s="1"/>
  <c r="K61" i="26"/>
  <c r="K58" i="26"/>
  <c r="N23" i="27" s="1"/>
  <c r="K57" i="26"/>
  <c r="K136" i="26"/>
  <c r="K130" i="26"/>
  <c r="N71" i="27" s="1"/>
  <c r="K59" i="26"/>
  <c r="K128" i="26"/>
  <c r="N70" i="27" s="1"/>
  <c r="K127" i="26"/>
  <c r="K129" i="26"/>
  <c r="K65" i="26"/>
  <c r="N26" i="27" s="1"/>
  <c r="K131" i="26"/>
  <c r="K132" i="26"/>
  <c r="N72" i="27" s="1"/>
  <c r="K56" i="26"/>
  <c r="N22" i="27" s="1"/>
  <c r="K66" i="26"/>
  <c r="K64" i="26"/>
  <c r="K125" i="26"/>
  <c r="K63" i="26"/>
  <c r="K124" i="26"/>
  <c r="N68" i="27" s="1"/>
  <c r="K62" i="26"/>
  <c r="N25" i="27" s="1"/>
  <c r="K55" i="26"/>
  <c r="K60" i="26"/>
  <c r="N24" i="27" s="1"/>
  <c r="K137" i="26"/>
  <c r="R10" i="26"/>
  <c r="K233" i="26"/>
  <c r="K219" i="26"/>
  <c r="K177" i="26"/>
  <c r="K114" i="26"/>
  <c r="K100" i="26"/>
  <c r="K52" i="26"/>
  <c r="K38" i="26"/>
  <c r="K24" i="26"/>
  <c r="K112" i="26"/>
  <c r="K36" i="26"/>
  <c r="K97" i="26"/>
  <c r="K35" i="26"/>
  <c r="K215" i="26"/>
  <c r="K187" i="26"/>
  <c r="K34" i="26"/>
  <c r="K214" i="26"/>
  <c r="K172" i="26"/>
  <c r="K109" i="26"/>
  <c r="K33" i="26"/>
  <c r="K232" i="26"/>
  <c r="N20" i="27" s="1"/>
  <c r="K218" i="26"/>
  <c r="K204" i="26"/>
  <c r="K176" i="26"/>
  <c r="K113" i="26"/>
  <c r="K99" i="26"/>
  <c r="N16" i="27" s="1"/>
  <c r="K51" i="26"/>
  <c r="K37" i="26"/>
  <c r="K231" i="26"/>
  <c r="K203" i="26"/>
  <c r="K189" i="26"/>
  <c r="K98" i="26"/>
  <c r="K50" i="26"/>
  <c r="K230" i="26"/>
  <c r="K188" i="26"/>
  <c r="K111" i="26"/>
  <c r="K49" i="26"/>
  <c r="K229" i="26"/>
  <c r="K173" i="26"/>
  <c r="K110" i="26"/>
  <c r="K48" i="26"/>
  <c r="K200" i="26"/>
  <c r="K95" i="26"/>
  <c r="K227" i="26"/>
  <c r="K108" i="26"/>
  <c r="K93" i="26"/>
  <c r="K211" i="26"/>
  <c r="K197" i="26"/>
  <c r="K183" i="26"/>
  <c r="K169" i="26"/>
  <c r="K120" i="26"/>
  <c r="K106" i="26"/>
  <c r="K92" i="26"/>
  <c r="K44" i="26"/>
  <c r="K30" i="26"/>
  <c r="K105" i="26"/>
  <c r="K91" i="26"/>
  <c r="K43" i="26"/>
  <c r="K104" i="26"/>
  <c r="N15" i="27" s="1"/>
  <c r="K28" i="26"/>
  <c r="K208" i="26"/>
  <c r="K166" i="26"/>
  <c r="K117" i="26"/>
  <c r="K193" i="26"/>
  <c r="K116" i="26"/>
  <c r="K199" i="26"/>
  <c r="K46" i="26"/>
  <c r="K45" i="26"/>
  <c r="K224" i="26"/>
  <c r="K119" i="26"/>
  <c r="K29" i="26"/>
  <c r="K118" i="26"/>
  <c r="K90" i="26"/>
  <c r="K42" i="26"/>
  <c r="K103" i="26"/>
  <c r="K41" i="26"/>
  <c r="K207" i="26"/>
  <c r="K102" i="26"/>
  <c r="K26" i="26"/>
  <c r="K94" i="26"/>
  <c r="K184" i="26"/>
  <c r="K31" i="26"/>
  <c r="K223" i="26"/>
  <c r="K180" i="26"/>
  <c r="K89" i="26"/>
  <c r="K27" i="26"/>
  <c r="K40" i="26"/>
  <c r="K122" i="26"/>
  <c r="K107" i="26"/>
  <c r="N14" i="27" s="1"/>
  <c r="K220" i="26"/>
  <c r="K192" i="26"/>
  <c r="K115" i="26"/>
  <c r="K101" i="26"/>
  <c r="K53" i="26"/>
  <c r="K39" i="26"/>
  <c r="K25" i="26"/>
  <c r="K96" i="26"/>
  <c r="K228" i="26"/>
  <c r="K123" i="26"/>
  <c r="K47" i="26"/>
  <c r="K32" i="26"/>
  <c r="K121" i="26"/>
  <c r="G124" i="26"/>
  <c r="V68" i="27" s="1"/>
  <c r="G224" i="26"/>
  <c r="G58" i="26"/>
  <c r="V23" i="27" s="1"/>
  <c r="F31" i="15" s="1"/>
  <c r="G31" i="15" s="1"/>
  <c r="G128" i="26"/>
  <c r="V70" i="27" s="1"/>
  <c r="G222" i="26"/>
  <c r="G209" i="26"/>
  <c r="G10" i="26"/>
  <c r="I4" i="26" s="1"/>
  <c r="O4" i="26" s="1"/>
  <c r="P4" i="26" s="1"/>
  <c r="G60" i="26"/>
  <c r="V24" i="27" s="1"/>
  <c r="F32" i="15" s="1"/>
  <c r="G32" i="15" s="1"/>
  <c r="G140" i="26"/>
  <c r="V60" i="27" s="1"/>
  <c r="G130" i="26"/>
  <c r="V71" i="27" s="1"/>
  <c r="G201" i="26"/>
  <c r="G56" i="26"/>
  <c r="V22" i="27" s="1"/>
  <c r="F30" i="15" s="1"/>
  <c r="G30" i="15" s="1"/>
  <c r="G138" i="26"/>
  <c r="V39" i="27" s="1"/>
  <c r="F47" i="15" s="1"/>
  <c r="G47" i="15" s="1"/>
  <c r="G226" i="26"/>
  <c r="G126" i="26"/>
  <c r="V69" i="27" s="1"/>
  <c r="G216" i="26"/>
  <c r="G162" i="26"/>
  <c r="V35" i="27" s="1"/>
  <c r="F43" i="15" s="1"/>
  <c r="G43" i="15" s="1"/>
  <c r="G253" i="26"/>
  <c r="V43" i="27" s="1"/>
  <c r="G62" i="26"/>
  <c r="V25" i="27" s="1"/>
  <c r="F33" i="15" s="1"/>
  <c r="G33" i="15" s="1"/>
  <c r="G65" i="26"/>
  <c r="V26" i="27" s="1"/>
  <c r="F34" i="15" s="1"/>
  <c r="G34" i="15" s="1"/>
  <c r="G132" i="26"/>
  <c r="V72" i="27" s="1"/>
  <c r="G54" i="26"/>
  <c r="V21" i="27" s="1"/>
  <c r="F29" i="15" s="1"/>
  <c r="G29" i="15" s="1"/>
  <c r="V14" i="27"/>
  <c r="F22" i="15" s="1"/>
  <c r="G22" i="15" s="1"/>
  <c r="B100" i="27"/>
  <c r="B101" i="27" s="1"/>
  <c r="M153" i="26"/>
  <c r="M176" i="26"/>
  <c r="M232" i="26"/>
  <c r="R20" i="27" s="1"/>
  <c r="M199" i="26"/>
  <c r="M231" i="26"/>
  <c r="M230" i="26"/>
  <c r="M253" i="26"/>
  <c r="R43" i="27" s="1"/>
  <c r="M229" i="26"/>
  <c r="M158" i="26"/>
  <c r="R13" i="27" s="1"/>
  <c r="M192" i="26"/>
  <c r="M227" i="26"/>
  <c r="M244" i="26"/>
  <c r="M224" i="26"/>
  <c r="M154" i="26"/>
  <c r="M214" i="26"/>
  <c r="M218" i="26"/>
  <c r="M207" i="26"/>
  <c r="M211" i="26"/>
  <c r="M239" i="26"/>
  <c r="M247" i="26"/>
  <c r="M250" i="26"/>
  <c r="M203" i="26"/>
  <c r="M236" i="26"/>
  <c r="M180" i="26"/>
  <c r="M197" i="26"/>
  <c r="M187" i="26"/>
  <c r="M189" i="26"/>
  <c r="M254" i="26"/>
  <c r="M183" i="26"/>
  <c r="M200" i="26"/>
  <c r="M157" i="26"/>
  <c r="M215" i="26"/>
  <c r="M159" i="26"/>
  <c r="M156" i="26"/>
  <c r="M193" i="26"/>
  <c r="M161" i="26"/>
  <c r="M219" i="26"/>
  <c r="M160" i="26"/>
  <c r="R38" i="27" s="1"/>
  <c r="U38" i="27" s="1"/>
  <c r="M233" i="26"/>
  <c r="M23" i="26"/>
  <c r="M166" i="26"/>
  <c r="M184" i="26"/>
  <c r="M169" i="26"/>
  <c r="M220" i="26"/>
  <c r="M172" i="26"/>
  <c r="M208" i="26"/>
  <c r="M188" i="26"/>
  <c r="M228" i="26"/>
  <c r="M223" i="26"/>
  <c r="M204" i="26"/>
  <c r="M155" i="26"/>
  <c r="M92" i="26"/>
  <c r="M100" i="26"/>
  <c r="M42" i="26"/>
  <c r="M51" i="26"/>
  <c r="M26" i="26"/>
  <c r="M52" i="26"/>
  <c r="M36" i="26"/>
  <c r="M89" i="26"/>
  <c r="M91" i="26"/>
  <c r="M32" i="26"/>
  <c r="M46" i="26"/>
  <c r="M94" i="26"/>
  <c r="M31" i="26"/>
  <c r="M97" i="26"/>
  <c r="M27" i="26"/>
  <c r="M93" i="26"/>
  <c r="M106" i="26"/>
  <c r="M119" i="26"/>
  <c r="M103" i="26"/>
  <c r="M33" i="26"/>
  <c r="M123" i="26"/>
  <c r="M38" i="26"/>
  <c r="M98" i="26"/>
  <c r="M48" i="26"/>
  <c r="M28" i="26"/>
  <c r="M122" i="26"/>
  <c r="M37" i="26"/>
  <c r="M90" i="26"/>
  <c r="M30" i="26"/>
  <c r="M109" i="26"/>
  <c r="M34" i="26"/>
  <c r="M101" i="26"/>
  <c r="M120" i="26"/>
  <c r="M115" i="26"/>
  <c r="M107" i="26"/>
  <c r="R14" i="27" s="1"/>
  <c r="M43" i="26"/>
  <c r="M99" i="26"/>
  <c r="R16" i="27" s="1"/>
  <c r="M39" i="26"/>
  <c r="M116" i="26"/>
  <c r="M50" i="26"/>
  <c r="M45" i="26"/>
  <c r="M112" i="26"/>
  <c r="M40" i="26"/>
  <c r="M47" i="26"/>
  <c r="M121" i="26"/>
  <c r="M104" i="26"/>
  <c r="R15" i="27" s="1"/>
  <c r="M118" i="26"/>
  <c r="M111" i="26"/>
  <c r="M25" i="26"/>
  <c r="T10" i="26"/>
  <c r="M110" i="26"/>
  <c r="M95" i="26"/>
  <c r="M117" i="26"/>
  <c r="M96" i="26"/>
  <c r="M29" i="26"/>
  <c r="M113" i="26"/>
  <c r="M24" i="26"/>
  <c r="M102" i="26"/>
  <c r="M35" i="26"/>
  <c r="M41" i="26"/>
  <c r="M49" i="26"/>
  <c r="M108" i="26"/>
  <c r="M105" i="26"/>
  <c r="M53" i="26"/>
  <c r="M44" i="26"/>
  <c r="M114" i="26"/>
  <c r="V109" i="27"/>
  <c r="V13" i="27"/>
  <c r="V16" i="27"/>
  <c r="V17" i="27"/>
  <c r="F25" i="15" s="1"/>
  <c r="G25" i="15" s="1"/>
  <c r="V105" i="27"/>
  <c r="V104" i="27"/>
  <c r="V106" i="27"/>
  <c r="W104" i="27"/>
  <c r="X20" i="27" l="1"/>
  <c r="F24" i="15"/>
  <c r="G24" i="15" s="1"/>
  <c r="K63" i="27"/>
  <c r="Y63" i="27"/>
  <c r="X63" i="27"/>
  <c r="U63" i="27"/>
  <c r="K31" i="27"/>
  <c r="H39" i="15" s="1"/>
  <c r="X31" i="27"/>
  <c r="Y31" i="27"/>
  <c r="U31" i="27"/>
  <c r="R18" i="27"/>
  <c r="R54" i="27"/>
  <c r="Y35" i="27"/>
  <c r="U35" i="27"/>
  <c r="K35" i="27"/>
  <c r="X35" i="27"/>
  <c r="K23" i="27"/>
  <c r="X23" i="27"/>
  <c r="Y23" i="27"/>
  <c r="U23" i="27"/>
  <c r="K57" i="27"/>
  <c r="Y57" i="27"/>
  <c r="U57" i="27"/>
  <c r="X57" i="27"/>
  <c r="K52" i="27"/>
  <c r="U52" i="27"/>
  <c r="Y52" i="27"/>
  <c r="X52" i="27"/>
  <c r="U20" i="27"/>
  <c r="K74" i="27"/>
  <c r="U74" i="27"/>
  <c r="X74" i="27"/>
  <c r="Y74" i="27"/>
  <c r="X73" i="27"/>
  <c r="U73" i="27"/>
  <c r="K42" i="27"/>
  <c r="Y42" i="27"/>
  <c r="U42" i="27"/>
  <c r="X42" i="27"/>
  <c r="Y79" i="27"/>
  <c r="K79" i="27"/>
  <c r="X79" i="27"/>
  <c r="U79" i="27"/>
  <c r="K46" i="27"/>
  <c r="X46" i="27"/>
  <c r="Y46" i="27"/>
  <c r="U46" i="27"/>
  <c r="K22" i="27"/>
  <c r="X22" i="27"/>
  <c r="Y22" i="27"/>
  <c r="U22" i="27"/>
  <c r="K59" i="27"/>
  <c r="U59" i="27"/>
  <c r="X59" i="27"/>
  <c r="Y59" i="27"/>
  <c r="X38" i="27"/>
  <c r="V27" i="27"/>
  <c r="F35" i="15" s="1"/>
  <c r="G35" i="15" s="1"/>
  <c r="V64" i="27"/>
  <c r="V49" i="27"/>
  <c r="K71" i="27"/>
  <c r="Y71" i="27"/>
  <c r="X71" i="27"/>
  <c r="U71" i="27"/>
  <c r="N18" i="27"/>
  <c r="N54" i="27"/>
  <c r="K67" i="27"/>
  <c r="Y67" i="27"/>
  <c r="X67" i="27"/>
  <c r="U67" i="27"/>
  <c r="X76" i="27"/>
  <c r="Y76" i="27"/>
  <c r="U76" i="27"/>
  <c r="K76" i="27"/>
  <c r="K56" i="27"/>
  <c r="Y56" i="27"/>
  <c r="U56" i="27"/>
  <c r="X56" i="27"/>
  <c r="X60" i="27"/>
  <c r="K60" i="27"/>
  <c r="Y60" i="27"/>
  <c r="U60" i="27"/>
  <c r="K29" i="27"/>
  <c r="H37" i="15" s="1"/>
  <c r="Y29" i="27"/>
  <c r="U29" i="27"/>
  <c r="X29" i="27"/>
  <c r="Y81" i="27"/>
  <c r="K81" i="27"/>
  <c r="U81" i="27"/>
  <c r="X81" i="27"/>
  <c r="K70" i="27"/>
  <c r="Y70" i="27"/>
  <c r="X70" i="27"/>
  <c r="U70" i="27"/>
  <c r="R19" i="27"/>
  <c r="R55" i="27"/>
  <c r="V30" i="27"/>
  <c r="F38" i="15" s="1"/>
  <c r="G38" i="15" s="1"/>
  <c r="V45" i="27"/>
  <c r="N19" i="27"/>
  <c r="N55" i="27"/>
  <c r="X69" i="27"/>
  <c r="U69" i="27"/>
  <c r="K69" i="27"/>
  <c r="Y69" i="27"/>
  <c r="K61" i="27"/>
  <c r="Y61" i="27"/>
  <c r="U61" i="27"/>
  <c r="X61" i="27"/>
  <c r="K24" i="27"/>
  <c r="Y24" i="27"/>
  <c r="U24" i="27"/>
  <c r="X24" i="27"/>
  <c r="K44" i="27"/>
  <c r="X44" i="27"/>
  <c r="Y44" i="27"/>
  <c r="U44" i="27"/>
  <c r="Y50" i="27"/>
  <c r="U50" i="27"/>
  <c r="K50" i="27"/>
  <c r="X50" i="27"/>
  <c r="K75" i="27"/>
  <c r="Y75" i="27"/>
  <c r="X75" i="27"/>
  <c r="U75" i="27"/>
  <c r="K43" i="27"/>
  <c r="Y43" i="27"/>
  <c r="U43" i="27"/>
  <c r="X43" i="27"/>
  <c r="K68" i="27"/>
  <c r="Y68" i="27"/>
  <c r="X68" i="27"/>
  <c r="U68" i="27"/>
  <c r="X39" i="27"/>
  <c r="K39" i="27"/>
  <c r="Y39" i="27"/>
  <c r="U39" i="27"/>
  <c r="K72" i="27"/>
  <c r="X72" i="27"/>
  <c r="U72" i="27"/>
  <c r="Y72" i="27"/>
  <c r="K78" i="27"/>
  <c r="Y78" i="27"/>
  <c r="X78" i="27"/>
  <c r="U78" i="27"/>
  <c r="Y65" i="27"/>
  <c r="X65" i="27"/>
  <c r="U65" i="27"/>
  <c r="K65" i="27"/>
  <c r="X41" i="27"/>
  <c r="K41" i="27"/>
  <c r="H49" i="15" s="1"/>
  <c r="Y41" i="27"/>
  <c r="U41" i="27"/>
  <c r="Y40" i="27"/>
  <c r="U40" i="27"/>
  <c r="K40" i="27"/>
  <c r="H48" i="15" s="1"/>
  <c r="X40" i="27"/>
  <c r="V28" i="27"/>
  <c r="F36" i="15" s="1"/>
  <c r="G36" i="15" s="1"/>
  <c r="V77" i="27"/>
  <c r="V66" i="27"/>
  <c r="K51" i="27"/>
  <c r="X51" i="27"/>
  <c r="Y51" i="27"/>
  <c r="U51" i="27"/>
  <c r="Y62" i="27"/>
  <c r="U62" i="27"/>
  <c r="K62" i="27"/>
  <c r="X62" i="27"/>
  <c r="U80" i="27"/>
  <c r="Y80" i="27"/>
  <c r="K80" i="27"/>
  <c r="X80" i="27"/>
  <c r="X53" i="27"/>
  <c r="K53" i="27"/>
  <c r="Y53" i="27"/>
  <c r="U53" i="27"/>
  <c r="U36" i="27"/>
  <c r="K36" i="27"/>
  <c r="X36" i="27"/>
  <c r="Y36" i="27"/>
  <c r="K21" i="27"/>
  <c r="X21" i="27"/>
  <c r="U21" i="27"/>
  <c r="Y21" i="27"/>
  <c r="Y26" i="27"/>
  <c r="U26" i="27"/>
  <c r="K26" i="27"/>
  <c r="X26" i="27"/>
  <c r="X25" i="27"/>
  <c r="Y25" i="27"/>
  <c r="U25" i="27"/>
  <c r="K25" i="27"/>
  <c r="Y48" i="27"/>
  <c r="U48" i="27"/>
  <c r="X48" i="27"/>
  <c r="K48" i="27"/>
  <c r="K37" i="27"/>
  <c r="Y37" i="27"/>
  <c r="U37" i="27"/>
  <c r="X37" i="27"/>
  <c r="X58" i="27"/>
  <c r="U58" i="27"/>
  <c r="K58" i="27"/>
  <c r="Y58" i="27"/>
  <c r="G23" i="2"/>
  <c r="L11" i="31"/>
  <c r="U14" i="27"/>
  <c r="B102" i="27"/>
  <c r="B103" i="27" s="1"/>
  <c r="B104" i="27" s="1"/>
  <c r="B105" i="27" s="1"/>
  <c r="B106" i="27" s="1"/>
  <c r="B107" i="27" s="1"/>
  <c r="B108" i="27" s="1"/>
  <c r="B109" i="27" s="1"/>
  <c r="N12" i="31"/>
  <c r="V15" i="27"/>
  <c r="F23" i="15" s="1"/>
  <c r="G23" i="15" s="1"/>
  <c r="Y14" i="27"/>
  <c r="X14" i="27"/>
  <c r="K14" i="27"/>
  <c r="H22" i="15" s="1"/>
  <c r="F20" i="2"/>
  <c r="L8" i="31"/>
  <c r="L7" i="31"/>
  <c r="F21" i="15"/>
  <c r="G21" i="15" s="1"/>
  <c r="L10" i="31"/>
  <c r="K17" i="27"/>
  <c r="H25" i="15" s="1"/>
  <c r="X13" i="27"/>
  <c r="Y13" i="27"/>
  <c r="K13" i="27"/>
  <c r="H21" i="15" s="1"/>
  <c r="U13" i="27"/>
  <c r="U17" i="27"/>
  <c r="Y17" i="27"/>
  <c r="X17" i="27"/>
  <c r="Y16" i="27"/>
  <c r="U16" i="27"/>
  <c r="X16" i="27"/>
  <c r="K16" i="27"/>
  <c r="H24" i="15" s="1"/>
  <c r="Y104" i="27"/>
  <c r="Y102" i="27"/>
  <c r="W102" i="27"/>
  <c r="X19" i="27" l="1"/>
  <c r="G53" i="15"/>
  <c r="B18" i="15" s="1"/>
  <c r="X55" i="27"/>
  <c r="U54" i="27"/>
  <c r="K28" i="27"/>
  <c r="H36" i="15" s="1"/>
  <c r="Y28" i="27"/>
  <c r="U28" i="27"/>
  <c r="X28" i="27"/>
  <c r="K64" i="27"/>
  <c r="Y64" i="27"/>
  <c r="X64" i="27"/>
  <c r="U64" i="27"/>
  <c r="K45" i="27"/>
  <c r="X45" i="27"/>
  <c r="Y45" i="27"/>
  <c r="U45" i="27"/>
  <c r="X54" i="27"/>
  <c r="U55" i="27"/>
  <c r="U19" i="27"/>
  <c r="X18" i="27"/>
  <c r="U18" i="27"/>
  <c r="X27" i="27"/>
  <c r="K27" i="27"/>
  <c r="H35" i="15" s="1"/>
  <c r="Y27" i="27"/>
  <c r="U27" i="27"/>
  <c r="F23" i="2"/>
  <c r="X30" i="27"/>
  <c r="Y30" i="27"/>
  <c r="U30" i="27"/>
  <c r="K30" i="27"/>
  <c r="H38" i="15" s="1"/>
  <c r="K66" i="27"/>
  <c r="Y66" i="27"/>
  <c r="X66" i="27"/>
  <c r="U66" i="27"/>
  <c r="K77" i="27"/>
  <c r="Y77" i="27"/>
  <c r="X77" i="27"/>
  <c r="U77" i="27"/>
  <c r="X49" i="27"/>
  <c r="K49" i="27"/>
  <c r="Y49" i="27"/>
  <c r="U49" i="27"/>
  <c r="N11" i="31"/>
  <c r="L9" i="31"/>
  <c r="N7" i="31"/>
  <c r="N8" i="31"/>
  <c r="N10" i="31"/>
  <c r="Y15" i="27"/>
  <c r="K15" i="27"/>
  <c r="H23" i="15" s="1"/>
  <c r="X15" i="27"/>
  <c r="U15" i="27"/>
  <c r="G20" i="2"/>
  <c r="F19" i="2"/>
  <c r="F22" i="2"/>
  <c r="G22" i="2"/>
  <c r="G19" i="2"/>
  <c r="N9" i="31" l="1"/>
  <c r="F21" i="2"/>
  <c r="G21" i="2"/>
  <c r="X111" i="27"/>
  <c r="W111" i="27"/>
  <c r="Y119" i="27" l="1"/>
  <c r="N22" i="31" s="1"/>
  <c r="M14" i="31"/>
  <c r="T114" i="27"/>
  <c r="Y111" i="27"/>
  <c r="K17" i="31" l="1"/>
  <c r="Y117" i="27"/>
  <c r="N14" i="31"/>
  <c r="Y121" i="27" l="1"/>
  <c r="N24" i="31" s="1"/>
  <c r="N20" i="31"/>
  <c r="G26" i="2"/>
  <c r="Y123" i="27" l="1"/>
  <c r="N26" i="31" s="1"/>
  <c r="C17" i="2"/>
  <c r="B18" i="2"/>
  <c r="C18" i="2"/>
  <c r="D18" i="2"/>
  <c r="E18" i="2"/>
  <c r="F18" i="2"/>
  <c r="G18" i="2"/>
  <c r="H18" i="2"/>
  <c r="A18" i="2"/>
  <c r="A22" i="15" l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L13" i="2" l="1"/>
  <c r="A20" i="2" l="1"/>
  <c r="A21" i="2" s="1"/>
  <c r="A22" i="2" s="1"/>
  <c r="A23" i="2" s="1"/>
  <c r="A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이민수 법인</author>
  </authors>
  <commentList>
    <comment ref="S5" authorId="0" shapeId="0" xr:uid="{31CCBC5F-1C19-443F-AF72-CDA582FCE9BE}">
      <text>
        <r>
          <rPr>
            <b/>
            <sz val="9"/>
            <color indexed="81"/>
            <rFont val="돋움"/>
            <family val="3"/>
            <charset val="129"/>
          </rPr>
          <t>이민수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법인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5</t>
        </r>
      </text>
    </comment>
    <comment ref="V5" authorId="0" shapeId="0" xr:uid="{17633930-3497-4C0E-96FB-98DFB3430CF2}">
      <text>
        <r>
          <rPr>
            <b/>
            <sz val="9"/>
            <color indexed="81"/>
            <rFont val="돋움"/>
            <family val="3"/>
            <charset val="129"/>
          </rPr>
          <t>이민수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법인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5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<sst xmlns="http://schemas.openxmlformats.org/spreadsheetml/2006/main" count="1721" uniqueCount="456">
  <si>
    <t>발주접수</t>
    <phoneticPr fontId="2" type="noConversion"/>
  </si>
  <si>
    <t>발주의뢰</t>
    <phoneticPr fontId="2" type="noConversion"/>
  </si>
  <si>
    <t>발주의뢰처</t>
    <phoneticPr fontId="2" type="noConversion"/>
  </si>
  <si>
    <t>발주수신처</t>
    <phoneticPr fontId="2" type="noConversion"/>
  </si>
  <si>
    <t>납품희망일</t>
    <phoneticPr fontId="2" type="noConversion"/>
  </si>
  <si>
    <t>현장명</t>
    <phoneticPr fontId="2" type="noConversion"/>
  </si>
  <si>
    <t>납 품 장 소</t>
    <phoneticPr fontId="2" type="noConversion"/>
  </si>
  <si>
    <t>현장요청사항</t>
    <phoneticPr fontId="2" type="noConversion"/>
  </si>
  <si>
    <t>납품처</t>
    <phoneticPr fontId="2" type="noConversion"/>
  </si>
  <si>
    <t>NOTE</t>
    <phoneticPr fontId="2" type="noConversion"/>
  </si>
  <si>
    <t xml:space="preserve">발주 후 </t>
    <phoneticPr fontId="2" type="noConversion"/>
  </si>
  <si>
    <t>1. 수주현황 에 입력</t>
    <phoneticPr fontId="2" type="noConversion"/>
  </si>
  <si>
    <t>2. 프로화이어에 접수 유무를 확인</t>
    <phoneticPr fontId="2" type="noConversion"/>
  </si>
  <si>
    <t>3. 거래처에 접수 현황 알림</t>
    <phoneticPr fontId="2" type="noConversion"/>
  </si>
  <si>
    <t>규격</t>
    <phoneticPr fontId="2" type="noConversion"/>
  </si>
  <si>
    <t>단위</t>
    <phoneticPr fontId="2" type="noConversion"/>
  </si>
  <si>
    <t>수량</t>
    <phoneticPr fontId="2" type="noConversion"/>
  </si>
  <si>
    <t>번호</t>
    <phoneticPr fontId="2" type="noConversion"/>
  </si>
  <si>
    <t>계</t>
    <phoneticPr fontId="2" type="noConversion"/>
  </si>
  <si>
    <t>금액</t>
    <phoneticPr fontId="2" type="noConversion"/>
  </si>
  <si>
    <r>
      <t xml:space="preserve">탑 디뉴스 </t>
    </r>
    <r>
      <rPr>
        <b/>
        <sz val="14"/>
        <color theme="1"/>
        <rFont val="맑은 고딕"/>
        <family val="3"/>
        <charset val="129"/>
      </rPr>
      <t xml:space="preserve">( </t>
    </r>
    <r>
      <rPr>
        <b/>
        <sz val="14"/>
        <color rgb="FFFF0000"/>
        <rFont val="맑은 고딕"/>
        <family val="3"/>
        <charset val="129"/>
      </rPr>
      <t>T</t>
    </r>
    <r>
      <rPr>
        <b/>
        <sz val="14"/>
        <color theme="1"/>
        <rFont val="맑은 고딕"/>
        <family val="3"/>
        <charset val="129"/>
      </rPr>
      <t xml:space="preserve">otal </t>
    </r>
    <r>
      <rPr>
        <b/>
        <sz val="14"/>
        <color rgb="FFFF0000"/>
        <rFont val="맑은 고딕"/>
        <family val="3"/>
        <charset val="129"/>
      </rPr>
      <t>O</t>
    </r>
    <r>
      <rPr>
        <b/>
        <sz val="14"/>
        <color theme="1"/>
        <rFont val="맑은 고딕"/>
        <family val="3"/>
        <charset val="129"/>
      </rPr>
      <t>f fire</t>
    </r>
    <r>
      <rPr>
        <b/>
        <sz val="14"/>
        <color rgb="FFFF0000"/>
        <rFont val="맑은 고딕"/>
        <family val="3"/>
        <charset val="129"/>
      </rPr>
      <t>P</t>
    </r>
    <r>
      <rPr>
        <b/>
        <sz val="14"/>
        <color theme="1"/>
        <rFont val="맑은 고딕"/>
        <family val="3"/>
        <charset val="129"/>
      </rPr>
      <t>roof Material )</t>
    </r>
    <phoneticPr fontId="2" type="noConversion"/>
  </si>
  <si>
    <t>귀중</t>
    <phoneticPr fontId="2" type="noConversion"/>
  </si>
  <si>
    <t>주식회사 탑디뉴스 대표 이민수</t>
    <phoneticPr fontId="2" type="noConversion"/>
  </si>
  <si>
    <t>단가</t>
    <phoneticPr fontId="2" type="noConversion"/>
  </si>
  <si>
    <t>t) 010-8884-4742 f) 031-8056-9544</t>
    <phoneticPr fontId="2" type="noConversion"/>
  </si>
  <si>
    <t>e-mail) profire7006@hanmail.net</t>
    <phoneticPr fontId="2" type="noConversion"/>
  </si>
  <si>
    <t>[ 납품금액 ]</t>
    <phoneticPr fontId="2" type="noConversion"/>
  </si>
  <si>
    <t>부가세 별도</t>
    <phoneticPr fontId="2" type="noConversion"/>
  </si>
  <si>
    <t>비고</t>
    <phoneticPr fontId="2" type="noConversion"/>
  </si>
  <si>
    <t>거 래 명 세 서</t>
    <phoneticPr fontId="2" type="noConversion"/>
  </si>
  <si>
    <t>경기도 화성시 동탄대로 636-3, C동 1206호</t>
    <phoneticPr fontId="2" type="noConversion"/>
  </si>
  <si>
    <t>납품번호</t>
    <phoneticPr fontId="2" type="noConversion"/>
  </si>
  <si>
    <t>납품일자</t>
    <phoneticPr fontId="2" type="noConversion"/>
  </si>
  <si>
    <t>현 장 명</t>
    <phoneticPr fontId="2" type="noConversion"/>
  </si>
  <si>
    <t xml:space="preserve">                   </t>
    <phoneticPr fontId="2" type="noConversion"/>
  </si>
  <si>
    <t>인수자</t>
    <phoneticPr fontId="2" type="noConversion"/>
  </si>
  <si>
    <t>운임비</t>
    <phoneticPr fontId="2" type="noConversion"/>
  </si>
  <si>
    <t>고정구 견적서 단가 산출</t>
    <phoneticPr fontId="2" type="noConversion"/>
  </si>
  <si>
    <t>슬리브</t>
    <phoneticPr fontId="2" type="noConversion"/>
  </si>
  <si>
    <t>품 명</t>
    <phoneticPr fontId="28" type="noConversion"/>
  </si>
  <si>
    <t>규 격</t>
    <phoneticPr fontId="28" type="noConversion"/>
  </si>
  <si>
    <t>차열재길이</t>
    <phoneticPr fontId="28" type="noConversion"/>
  </si>
  <si>
    <t>배 관</t>
    <phoneticPr fontId="28" type="noConversion"/>
  </si>
  <si>
    <t>슬리브</t>
    <phoneticPr fontId="28" type="noConversion"/>
  </si>
  <si>
    <t>mm</t>
    <phoneticPr fontId="28" type="noConversion"/>
  </si>
  <si>
    <t>50A</t>
    <phoneticPr fontId="28" type="noConversion"/>
  </si>
  <si>
    <t>75A</t>
    <phoneticPr fontId="28" type="noConversion"/>
  </si>
  <si>
    <t>100A</t>
    <phoneticPr fontId="28" type="noConversion"/>
  </si>
  <si>
    <t>125A</t>
    <phoneticPr fontId="28" type="noConversion"/>
  </si>
  <si>
    <t>150A</t>
    <phoneticPr fontId="28" type="noConversion"/>
  </si>
  <si>
    <t>200A</t>
    <phoneticPr fontId="28" type="noConversion"/>
  </si>
  <si>
    <t>250A</t>
    <phoneticPr fontId="28" type="noConversion"/>
  </si>
  <si>
    <t>단가</t>
    <phoneticPr fontId="28" type="noConversion"/>
  </si>
  <si>
    <t xml:space="preserve"> 단가</t>
    <phoneticPr fontId="2" type="noConversion"/>
  </si>
  <si>
    <t>배관</t>
    <phoneticPr fontId="2" type="noConversion"/>
  </si>
  <si>
    <t>입상_SU_고정틀</t>
  </si>
  <si>
    <t>입상_SU_고정틀</t>
    <phoneticPr fontId="2" type="noConversion"/>
  </si>
  <si>
    <t>입상_SU_충진재</t>
  </si>
  <si>
    <t>입상_SU_충진재</t>
    <phoneticPr fontId="28" type="noConversion"/>
  </si>
  <si>
    <t>입상_강관_고정틀</t>
  </si>
  <si>
    <t>입상_강관_충진재</t>
    <phoneticPr fontId="28" type="noConversion"/>
  </si>
  <si>
    <t>입상_PVC_고정틀</t>
  </si>
  <si>
    <t>입상_PVC_고정틀</t>
    <phoneticPr fontId="28" type="noConversion"/>
  </si>
  <si>
    <t>입상_PVC_충진재</t>
  </si>
  <si>
    <t>입상_PVC_충진재</t>
    <phoneticPr fontId="28" type="noConversion"/>
  </si>
  <si>
    <t>벽체_SU_25A</t>
  </si>
  <si>
    <t>벽체_강관_20A</t>
  </si>
  <si>
    <t>벽체_PVC_40A</t>
  </si>
  <si>
    <t>벽체_PVC_50A</t>
  </si>
  <si>
    <t>벽체_PVC_65A</t>
  </si>
  <si>
    <t>판매가</t>
    <phoneticPr fontId="2" type="noConversion"/>
  </si>
  <si>
    <t>벽체_PVC_75A</t>
    <phoneticPr fontId="2" type="noConversion"/>
  </si>
  <si>
    <t>1 납품소요기간(발주서 접수후 1~2주일), 주문량에 따라 변경 될 수 있음</t>
    <phoneticPr fontId="2" type="noConversion"/>
  </si>
  <si>
    <t>품목</t>
    <phoneticPr fontId="2" type="noConversion"/>
  </si>
  <si>
    <t>검색 품명</t>
    <phoneticPr fontId="2" type="noConversion"/>
  </si>
  <si>
    <t>견적서 금액 합계</t>
    <phoneticPr fontId="2" type="noConversion"/>
  </si>
  <si>
    <t>협가</t>
    <phoneticPr fontId="2" type="noConversion"/>
  </si>
  <si>
    <t>실 영업 이익률</t>
    <phoneticPr fontId="2" type="noConversion"/>
  </si>
  <si>
    <t>제조사</t>
    <phoneticPr fontId="2" type="noConversion"/>
  </si>
  <si>
    <t>필립산업</t>
    <phoneticPr fontId="2" type="noConversion"/>
  </si>
  <si>
    <t>연한 노란색 부분은 수기로 입력 바랍니다.</t>
    <phoneticPr fontId="2" type="noConversion"/>
  </si>
  <si>
    <t>연한 주황색 부분은 자동 산출 됩니다.</t>
    <phoneticPr fontId="2" type="noConversion"/>
  </si>
  <si>
    <t>적요</t>
    <phoneticPr fontId="2" type="noConversion"/>
  </si>
  <si>
    <t>격적서 품명</t>
    <phoneticPr fontId="2" type="noConversion"/>
  </si>
  <si>
    <t xml:space="preserve"> </t>
    <phoneticPr fontId="2" type="noConversion"/>
  </si>
  <si>
    <t>차열재 길이</t>
  </si>
  <si>
    <t>총 차열재 길이</t>
    <phoneticPr fontId="2" type="noConversion"/>
  </si>
  <si>
    <t>차열재 품목</t>
    <phoneticPr fontId="2" type="noConversion"/>
  </si>
  <si>
    <t>차열재 및 실란트 산출</t>
    <phoneticPr fontId="2" type="noConversion"/>
  </si>
  <si>
    <t>계산식</t>
    <phoneticPr fontId="2" type="noConversion"/>
  </si>
  <si>
    <t>총 실란트</t>
    <phoneticPr fontId="2" type="noConversion"/>
  </si>
  <si>
    <t>Helper</t>
    <phoneticPr fontId="2" type="noConversion"/>
  </si>
  <si>
    <t>롤</t>
    <phoneticPr fontId="2" type="noConversion"/>
  </si>
  <si>
    <t>개소</t>
  </si>
  <si>
    <t>차열재 25T*200*7200</t>
    <phoneticPr fontId="2" type="noConversion"/>
  </si>
  <si>
    <t>차열재 38T*400*4800</t>
    <phoneticPr fontId="2" type="noConversion"/>
  </si>
  <si>
    <t>차열재 38T*600*4800</t>
  </si>
  <si>
    <t>차열재 38T*600*4800</t>
    <phoneticPr fontId="2" type="noConversion"/>
  </si>
  <si>
    <t>총 길이</t>
    <phoneticPr fontId="2" type="noConversion"/>
  </si>
  <si>
    <t>실란트 300ml/통</t>
    <phoneticPr fontId="2" type="noConversion"/>
  </si>
  <si>
    <t>총 개수</t>
    <phoneticPr fontId="2" type="noConversion"/>
  </si>
  <si>
    <t>차열재 종류</t>
    <phoneticPr fontId="2" type="noConversion"/>
  </si>
  <si>
    <t>38T*400*4800</t>
  </si>
  <si>
    <t>25T*200*7200</t>
  </si>
  <si>
    <t>실란트 용량</t>
    <phoneticPr fontId="2" type="noConversion"/>
  </si>
  <si>
    <t>사용된 수식들</t>
    <phoneticPr fontId="2" type="noConversion"/>
  </si>
  <si>
    <t>매출</t>
    <phoneticPr fontId="2" type="noConversion"/>
  </si>
  <si>
    <t>매입</t>
    <phoneticPr fontId="2" type="noConversion"/>
  </si>
  <si>
    <t>순이익</t>
    <phoneticPr fontId="2" type="noConversion"/>
  </si>
  <si>
    <t>차열재 가격</t>
    <phoneticPr fontId="2" type="noConversion"/>
  </si>
  <si>
    <t>실란트 가격</t>
    <phoneticPr fontId="2" type="noConversion"/>
  </si>
  <si>
    <t>일위대가표</t>
    <phoneticPr fontId="2" type="noConversion"/>
  </si>
  <si>
    <t>일위대가표 위함</t>
    <phoneticPr fontId="2" type="noConversion"/>
  </si>
  <si>
    <t>38T*400*4800</t>
    <phoneticPr fontId="2" type="noConversion"/>
  </si>
  <si>
    <t>일위대가표 금액</t>
    <phoneticPr fontId="2" type="noConversion"/>
  </si>
  <si>
    <t>단가 기준 금액</t>
    <phoneticPr fontId="2" type="noConversion"/>
  </si>
  <si>
    <t>75A</t>
  </si>
  <si>
    <t>100A</t>
  </si>
  <si>
    <t>인수자 연락처</t>
    <phoneticPr fontId="2" type="noConversion"/>
  </si>
  <si>
    <t>현장주소</t>
  </si>
  <si>
    <t>주 소</t>
    <phoneticPr fontId="2" type="noConversion"/>
  </si>
  <si>
    <t>입상_강관_고정틀</t>
    <phoneticPr fontId="2" type="noConversion"/>
  </si>
  <si>
    <t>입상_PVC_고정틀</t>
    <phoneticPr fontId="2" type="noConversion"/>
  </si>
  <si>
    <t>입상_PVC_충진재</t>
    <phoneticPr fontId="2" type="noConversion"/>
  </si>
  <si>
    <t>차열재 25T*400*7200</t>
  </si>
  <si>
    <t>차열재 25T*400*7200</t>
    <phoneticPr fontId="2" type="noConversion"/>
  </si>
  <si>
    <t>차열재 38T*200*4800</t>
  </si>
  <si>
    <t>차열재 38T*200*4800</t>
    <phoneticPr fontId="2" type="noConversion"/>
  </si>
  <si>
    <t>차열재 38T*400*4800</t>
  </si>
  <si>
    <t>차열재 25T*200*7200</t>
  </si>
  <si>
    <t>125A</t>
  </si>
  <si>
    <t>25T*200*7200</t>
    <phoneticPr fontId="28" type="noConversion"/>
  </si>
  <si>
    <t>벽체_PVC</t>
  </si>
  <si>
    <t>벽체_PVC_30A</t>
    <phoneticPr fontId="28" type="noConversion"/>
  </si>
  <si>
    <t>벽체_PVC_35A</t>
    <phoneticPr fontId="28" type="noConversion"/>
  </si>
  <si>
    <t>75A(개부구 간격 34~37.5mm)</t>
    <phoneticPr fontId="28" type="noConversion"/>
  </si>
  <si>
    <t>100A(개구부 간격 34~37.5mm)</t>
    <phoneticPr fontId="28" type="noConversion"/>
  </si>
  <si>
    <t>125A(외경 152mm 이하)</t>
    <phoneticPr fontId="28" type="noConversion"/>
  </si>
  <si>
    <t>125A(개구부 간격 34~37.5mm)</t>
    <phoneticPr fontId="28" type="noConversion"/>
  </si>
  <si>
    <t>벽체_PVC_100A</t>
    <phoneticPr fontId="28" type="noConversion"/>
  </si>
  <si>
    <t>개구부 간격 34mm이하</t>
    <phoneticPr fontId="28" type="noConversion"/>
  </si>
  <si>
    <t>대구경 인정서, 개구부 간격 37.5mm이하</t>
    <phoneticPr fontId="28" type="noConversion"/>
  </si>
  <si>
    <t>대구경 인정서, 개구부 간격 34mm이하</t>
    <phoneticPr fontId="28" type="noConversion"/>
  </si>
  <si>
    <t>벽체_SU</t>
  </si>
  <si>
    <t>벽체_SU_20A</t>
    <phoneticPr fontId="28" type="noConversion"/>
  </si>
  <si>
    <t>38T*400*4800</t>
    <phoneticPr fontId="28" type="noConversion"/>
  </si>
  <si>
    <t>100A(외경 130.7mm 이하)</t>
    <phoneticPr fontId="28" type="noConversion"/>
  </si>
  <si>
    <t>벽체_SU_25A</t>
    <phoneticPr fontId="28" type="noConversion"/>
  </si>
  <si>
    <t>벽체_SU_30A</t>
    <phoneticPr fontId="28" type="noConversion"/>
  </si>
  <si>
    <t>벽체_SU_40A</t>
    <phoneticPr fontId="28" type="noConversion"/>
  </si>
  <si>
    <t>벽체_SU_50A</t>
    <phoneticPr fontId="28" type="noConversion"/>
  </si>
  <si>
    <t>벽체_SU_60A</t>
    <phoneticPr fontId="28" type="noConversion"/>
  </si>
  <si>
    <t>벽체_SU_75A</t>
    <phoneticPr fontId="28" type="noConversion"/>
  </si>
  <si>
    <t>벽체_SU_80A</t>
    <phoneticPr fontId="28" type="noConversion"/>
  </si>
  <si>
    <t>벽체_SU_100A</t>
    <phoneticPr fontId="28" type="noConversion"/>
  </si>
  <si>
    <t>75A(개구부 간격 33.85~51.1mm)</t>
    <phoneticPr fontId="28" type="noConversion"/>
  </si>
  <si>
    <t>75A(외경110.4mm 이하)</t>
    <phoneticPr fontId="28" type="noConversion"/>
  </si>
  <si>
    <t>100A(외경128.2mm 이하)</t>
    <phoneticPr fontId="28" type="noConversion"/>
  </si>
  <si>
    <t>100A(개구부 간격 33.85~51.1mm)</t>
    <phoneticPr fontId="28" type="noConversion"/>
  </si>
  <si>
    <t>125A(개구부 간격 33.85~51.1mm)</t>
    <phoneticPr fontId="28" type="noConversion"/>
  </si>
  <si>
    <t>벽체_강관_15A</t>
    <phoneticPr fontId="28" type="noConversion"/>
  </si>
  <si>
    <t>벽체_강관_25A</t>
    <phoneticPr fontId="28" type="noConversion"/>
  </si>
  <si>
    <t>벽체_강관_32A</t>
    <phoneticPr fontId="28" type="noConversion"/>
  </si>
  <si>
    <t>벽체_강관_40A</t>
    <phoneticPr fontId="28" type="noConversion"/>
  </si>
  <si>
    <t>벽체_강관_50A</t>
    <phoneticPr fontId="28" type="noConversion"/>
  </si>
  <si>
    <t>벽체_강관_65A</t>
    <phoneticPr fontId="28" type="noConversion"/>
  </si>
  <si>
    <t>벽체_강관_80A</t>
    <phoneticPr fontId="28" type="noConversion"/>
  </si>
  <si>
    <t>벽체_강관_100A</t>
    <phoneticPr fontId="28" type="noConversion"/>
  </si>
  <si>
    <t>벽체_강관_125A</t>
    <phoneticPr fontId="28" type="noConversion"/>
  </si>
  <si>
    <t>벽체_강관_150A</t>
    <phoneticPr fontId="28" type="noConversion"/>
  </si>
  <si>
    <t>벽체_강관_200A</t>
    <phoneticPr fontId="28" type="noConversion"/>
  </si>
  <si>
    <t>100A(외경129.4mm 이하)</t>
    <phoneticPr fontId="28" type="noConversion"/>
  </si>
  <si>
    <t>250A(외경 267.4mm 이하)</t>
    <phoneticPr fontId="28" type="noConversion"/>
  </si>
  <si>
    <t>300A(외경 318mm 이하)</t>
    <phoneticPr fontId="28" type="noConversion"/>
  </si>
  <si>
    <t>벽체_강관</t>
  </si>
  <si>
    <t>벽체_강관</t>
    <phoneticPr fontId="2" type="noConversion"/>
  </si>
  <si>
    <t>개구부 간격 33.85mm이하</t>
  </si>
  <si>
    <t>개구부 간격 33.85mm이하</t>
    <phoneticPr fontId="28" type="noConversion"/>
  </si>
  <si>
    <t>대구경 인정서, 개구부 간격 51.1mm이하</t>
    <phoneticPr fontId="28" type="noConversion"/>
  </si>
  <si>
    <t>125A(외경 153.8mm 이하)</t>
    <phoneticPr fontId="28" type="noConversion"/>
  </si>
  <si>
    <t>150A(외경 180.3mm 이하)</t>
    <phoneticPr fontId="28" type="noConversion"/>
  </si>
  <si>
    <t>200A(외경 234.1mm 이하)</t>
    <phoneticPr fontId="28" type="noConversion"/>
  </si>
  <si>
    <t>250A(외경 285mm 이하)</t>
    <phoneticPr fontId="28" type="noConversion"/>
  </si>
  <si>
    <t>대구경 인정서, 개구부 간격 59.9mm이하</t>
    <phoneticPr fontId="28" type="noConversion"/>
  </si>
  <si>
    <t>대구경 인정서, 개구부 간격 59.9mm이하</t>
    <phoneticPr fontId="2" type="noConversion"/>
  </si>
  <si>
    <t>입상_강관_고정틀</t>
    <phoneticPr fontId="28" type="noConversion"/>
  </si>
  <si>
    <t>벽체_SU</t>
    <phoneticPr fontId="28" type="noConversion"/>
  </si>
  <si>
    <t>벽체_PVC</t>
    <phoneticPr fontId="28" type="noConversion"/>
  </si>
  <si>
    <t>입상_SU_고정틀_20A</t>
    <phoneticPr fontId="28" type="noConversion"/>
  </si>
  <si>
    <t>입상_SU_고정틀_25A</t>
    <phoneticPr fontId="28" type="noConversion"/>
  </si>
  <si>
    <t>입상_SU_고정틀_30A</t>
    <phoneticPr fontId="28" type="noConversion"/>
  </si>
  <si>
    <t>입상_SU_고정틀_40A</t>
    <phoneticPr fontId="28" type="noConversion"/>
  </si>
  <si>
    <t>입상_SU_고정틀_50A</t>
    <phoneticPr fontId="28" type="noConversion"/>
  </si>
  <si>
    <t>입상_SU_고정틀_60A</t>
    <phoneticPr fontId="28" type="noConversion"/>
  </si>
  <si>
    <t>입상_SU_고정틀_80A</t>
    <phoneticPr fontId="28" type="noConversion"/>
  </si>
  <si>
    <t>입상_SU_충진재_20A</t>
    <phoneticPr fontId="28" type="noConversion"/>
  </si>
  <si>
    <t>입상_SU_충진재_25A</t>
    <phoneticPr fontId="28" type="noConversion"/>
  </si>
  <si>
    <t>입상_SU_충진재_30A</t>
    <phoneticPr fontId="28" type="noConversion"/>
  </si>
  <si>
    <t>입상_SU_충진재_40A</t>
    <phoneticPr fontId="28" type="noConversion"/>
  </si>
  <si>
    <t>입상_SU_충진재_50A</t>
  </si>
  <si>
    <t>입상_SU_충진재_50A</t>
    <phoneticPr fontId="28" type="noConversion"/>
  </si>
  <si>
    <t>입상_SU_충진재_60A</t>
  </si>
  <si>
    <t>입상_SU_충진재_60A</t>
    <phoneticPr fontId="28" type="noConversion"/>
  </si>
  <si>
    <t>입상_SU_충진재_75A</t>
    <phoneticPr fontId="28" type="noConversion"/>
  </si>
  <si>
    <t>입상_SU_충진재_80A</t>
    <phoneticPr fontId="28" type="noConversion"/>
  </si>
  <si>
    <t>입상_SU_충진재_100A</t>
    <phoneticPr fontId="28" type="noConversion"/>
  </si>
  <si>
    <t>입상_SU_고정구_일체형</t>
  </si>
  <si>
    <t>입상_SU_고정구_일체형</t>
    <phoneticPr fontId="28" type="noConversion"/>
  </si>
  <si>
    <t>입상_SU_고정구_일체형_20A</t>
  </si>
  <si>
    <t>입상_SU_고정구_일체형_25A</t>
  </si>
  <si>
    <t>입상_SU_고정구_일체형_30A</t>
  </si>
  <si>
    <t>입상_SU_고정구_일체형_40A</t>
  </si>
  <si>
    <t>입상_SU_고정구_일체형_50A</t>
  </si>
  <si>
    <t>입상_SU_고정구_일체형_60A</t>
  </si>
  <si>
    <t>입상_SU_고정구_일체형_80A</t>
  </si>
  <si>
    <t>입상_SU_고정구_일체형_20A</t>
    <phoneticPr fontId="28" type="noConversion"/>
  </si>
  <si>
    <t>입상_강관_고정틀_20A</t>
  </si>
  <si>
    <t>입상_강관_고정틀_32A</t>
  </si>
  <si>
    <t>입상_강관_고정틀_40A</t>
  </si>
  <si>
    <t>입상_강관_고정틀_50A</t>
  </si>
  <si>
    <t>입상_강관_고정틀_65A</t>
  </si>
  <si>
    <t>입상_강관_고정틀_80A</t>
  </si>
  <si>
    <t>입상_강관_고정틀_100A</t>
  </si>
  <si>
    <t>입상_강관_고정틀_125A</t>
  </si>
  <si>
    <t>입상_강관_고정틀_150A</t>
  </si>
  <si>
    <t>입상_강관_고정틀_15A</t>
    <phoneticPr fontId="28" type="noConversion"/>
  </si>
  <si>
    <t>입상_강관_고정틀_25A</t>
    <phoneticPr fontId="28" type="noConversion"/>
  </si>
  <si>
    <t>입상_강관_고정틀_32A</t>
    <phoneticPr fontId="28" type="noConversion"/>
  </si>
  <si>
    <t>입상_강관_충진재_15A</t>
  </si>
  <si>
    <t>입상_강관_충진재_20A</t>
  </si>
  <si>
    <t>입상_강관_충진재_25A</t>
  </si>
  <si>
    <t>입상_강관_충진재_32A</t>
  </si>
  <si>
    <t>입상_강관_충진재_40A</t>
  </si>
  <si>
    <t>입상_강관_충진재_50A</t>
  </si>
  <si>
    <t>입상_강관_충진재_65A</t>
  </si>
  <si>
    <t>입상_강관_충진재_80A</t>
  </si>
  <si>
    <t>입상_강관_충진재_100A</t>
  </si>
  <si>
    <t>입상_강관_충진재_125A</t>
  </si>
  <si>
    <t>입상_강관_충진재_150A</t>
  </si>
  <si>
    <t>입상_강관_충진재_15A</t>
    <phoneticPr fontId="28" type="noConversion"/>
  </si>
  <si>
    <t>입상_강관_고정구_일체형</t>
  </si>
  <si>
    <t>입상_강관_고정구_일체형</t>
    <phoneticPr fontId="28" type="noConversion"/>
  </si>
  <si>
    <t>입상_강관_고정구_일체형_15A</t>
  </si>
  <si>
    <t>입상_강관_고정구_일체형_20A</t>
  </si>
  <si>
    <t>입상_강관_고정구_일체형_25A</t>
  </si>
  <si>
    <t>입상_강관_고정구_일체형_32A</t>
  </si>
  <si>
    <t>입상_강관_고정구_일체형_40A</t>
  </si>
  <si>
    <t>입상_강관_고정구_일체형_50A</t>
  </si>
  <si>
    <t>입상_강관_고정구_일체형_65A</t>
  </si>
  <si>
    <t>입상_강관_고정구_일체형_80A</t>
  </si>
  <si>
    <t>입상_강관_고정구_일체형_100A</t>
  </si>
  <si>
    <t>입상_강관_고정구_일체형_15A</t>
    <phoneticPr fontId="28" type="noConversion"/>
  </si>
  <si>
    <t>입상_PVC_고정틀_50A</t>
  </si>
  <si>
    <t>입상_PVC_고정틀_75A</t>
  </si>
  <si>
    <t>입상_PVC_고정틀_100A</t>
  </si>
  <si>
    <t>입상_PVC_고정틀_125A</t>
  </si>
  <si>
    <t>입상_PVC_고정틀_150A</t>
  </si>
  <si>
    <t>입상_PVC_고정틀_50A</t>
    <phoneticPr fontId="28" type="noConversion"/>
  </si>
  <si>
    <t>입상_PVC_충진재_50A</t>
  </si>
  <si>
    <t>입상_PVC_충진재_65A</t>
  </si>
  <si>
    <t>입상_PVC_충진재_75A</t>
  </si>
  <si>
    <t>입상_PVC_충진재_100A</t>
  </si>
  <si>
    <t>입상_PVC_충진재_125A</t>
  </si>
  <si>
    <t>입상_PVC_충진재_150A</t>
  </si>
  <si>
    <t>입상_PVC_충진재_50A</t>
    <phoneticPr fontId="28" type="noConversion"/>
  </si>
  <si>
    <t>입상_PVC_충진재_100A</t>
    <phoneticPr fontId="28" type="noConversion"/>
  </si>
  <si>
    <t>입상_PVC_고정구_일체형</t>
  </si>
  <si>
    <t>입상_PVC_고정구_일체형</t>
    <phoneticPr fontId="28" type="noConversion"/>
  </si>
  <si>
    <t>벽체_강관_20A</t>
    <phoneticPr fontId="28" type="noConversion"/>
  </si>
  <si>
    <t>벽체_PVC_25A</t>
    <phoneticPr fontId="28" type="noConversion"/>
  </si>
  <si>
    <t>벽체_PVC_40A</t>
    <phoneticPr fontId="28" type="noConversion"/>
  </si>
  <si>
    <t>벽체_PVC_50A</t>
    <phoneticPr fontId="28" type="noConversion"/>
  </si>
  <si>
    <t>벽체_PVC_65A</t>
    <phoneticPr fontId="28" type="noConversion"/>
  </si>
  <si>
    <t>벽체_PVC_125A</t>
    <phoneticPr fontId="28" type="noConversion"/>
  </si>
  <si>
    <t>벽체_PVC_150A</t>
    <phoneticPr fontId="28" type="noConversion"/>
  </si>
  <si>
    <t>입상_PVC_고정구_일체형_50A</t>
    <phoneticPr fontId="2" type="noConversion"/>
  </si>
  <si>
    <t>입상_PVC_고정구_일체형_75A</t>
    <phoneticPr fontId="2" type="noConversion"/>
  </si>
  <si>
    <t>입상_PVC_고정구_일체형_100A</t>
    <phoneticPr fontId="2" type="noConversion"/>
  </si>
  <si>
    <t>50A</t>
  </si>
  <si>
    <t>150A</t>
  </si>
  <si>
    <t>오배수_섹스티아</t>
  </si>
  <si>
    <t>투명_오배수_섹스티아</t>
  </si>
  <si>
    <t>초록색 부분은 단가표 검색을 위한 부분입니다. 
드롭다운으로 구성되어 있습니다.
1. 품명에 맞게 드롭다운에서 선택을 합니다.</t>
    <phoneticPr fontId="2" type="noConversion"/>
  </si>
  <si>
    <t>견        적        서</t>
    <phoneticPr fontId="2" type="noConversion"/>
  </si>
  <si>
    <r>
      <t xml:space="preserve">하기와 같이 </t>
    </r>
    <r>
      <rPr>
        <b/>
        <sz val="11"/>
        <color rgb="FFFF0000"/>
        <rFont val="맑은 고딕"/>
        <family val="3"/>
        <charset val="129"/>
      </rPr>
      <t>필립산업</t>
    </r>
    <r>
      <rPr>
        <b/>
        <sz val="11"/>
        <color theme="1"/>
        <rFont val="맑은 고딕"/>
        <family val="3"/>
        <charset val="129"/>
      </rPr>
      <t xml:space="preserve"> 배관을 견적합니다.</t>
    </r>
    <phoneticPr fontId="2" type="noConversion"/>
  </si>
  <si>
    <t>2.결재조건 : 협의</t>
    <phoneticPr fontId="2" type="noConversion"/>
  </si>
  <si>
    <t>3. 차열재 수량을 확인후 발주 - 반품 불가</t>
    <phoneticPr fontId="2" type="noConversion"/>
  </si>
  <si>
    <t>4. 인정제품은 반품이 불가하므로 확인후 발주 요함</t>
    <phoneticPr fontId="2" type="noConversion"/>
  </si>
  <si>
    <t>5. 대구경 인정서는 일체형 시공이 불가능하므로, 고정틀과 내화채움재를 각각 별도로 발주해 주시기 바랍니다.</t>
    <phoneticPr fontId="2" type="noConversion"/>
  </si>
  <si>
    <t>차열재</t>
    <phoneticPr fontId="2" type="noConversion"/>
  </si>
  <si>
    <t>25T*400*7200</t>
    <phoneticPr fontId="28" type="noConversion"/>
  </si>
  <si>
    <t>38T*200*4800</t>
    <phoneticPr fontId="28" type="noConversion"/>
  </si>
  <si>
    <t>38T*600*4800</t>
    <phoneticPr fontId="28" type="noConversion"/>
  </si>
  <si>
    <t>실란트</t>
    <phoneticPr fontId="2" type="noConversion"/>
  </si>
  <si>
    <t>300ml/통</t>
    <phoneticPr fontId="28" type="noConversion"/>
  </si>
  <si>
    <t>D100*A100</t>
  </si>
  <si>
    <t>D100*A75</t>
  </si>
  <si>
    <t>D100*A50</t>
  </si>
  <si>
    <t>D75*A75</t>
  </si>
  <si>
    <t>D75*A50</t>
  </si>
  <si>
    <t>PJS_매립형섹스티아</t>
  </si>
  <si>
    <t>D50*H130*A50</t>
  </si>
  <si>
    <t>D50*H150*A50</t>
  </si>
  <si>
    <t>D50*H180*A50</t>
  </si>
  <si>
    <t>D50*H210*A50</t>
  </si>
  <si>
    <t>D50*H235*A50</t>
  </si>
  <si>
    <t>D75*H150*A50</t>
  </si>
  <si>
    <t>D75*H180*A50</t>
  </si>
  <si>
    <t>D75*H200*A50</t>
  </si>
  <si>
    <t>D75*H210*A50</t>
  </si>
  <si>
    <t>D100*H150*A50</t>
  </si>
  <si>
    <t>D100*H180*A50</t>
  </si>
  <si>
    <t>D100*H200*A50</t>
  </si>
  <si>
    <t>D100*H210*A50</t>
  </si>
  <si>
    <t>싱크용_섹스티아_노출용</t>
  </si>
  <si>
    <t>층상용_섹스티아_노출용</t>
  </si>
  <si>
    <t>PJS_방화용_슬리브</t>
  </si>
  <si>
    <t>D50*H150</t>
  </si>
  <si>
    <t>D50*H180</t>
  </si>
  <si>
    <t>D50*H200</t>
  </si>
  <si>
    <t>D50*H210</t>
  </si>
  <si>
    <t>D75*H150</t>
  </si>
  <si>
    <t>D75*H180</t>
  </si>
  <si>
    <t>D75*H200</t>
  </si>
  <si>
    <t>D75*H210</t>
  </si>
  <si>
    <t>D100*H150</t>
  </si>
  <si>
    <t>D100*H180</t>
  </si>
  <si>
    <t>D100*H200</t>
  </si>
  <si>
    <t>D100*H210</t>
  </si>
  <si>
    <t>PJS_단열재_연결구</t>
  </si>
  <si>
    <t>D50*H30</t>
  </si>
  <si>
    <t>D50*H50</t>
  </si>
  <si>
    <t>D75*H30</t>
  </si>
  <si>
    <t>D75*H50</t>
  </si>
  <si>
    <t>D100*H30</t>
  </si>
  <si>
    <t>D100*H50</t>
  </si>
  <si>
    <t>PJS_연결구_가락지</t>
  </si>
  <si>
    <t>PJS_방화용_가락지</t>
  </si>
  <si>
    <t>D50*3전</t>
  </si>
  <si>
    <t>D50*5전</t>
  </si>
  <si>
    <t>D75*3전</t>
  </si>
  <si>
    <t>D75*5전</t>
  </si>
  <si>
    <t>D100*3전</t>
  </si>
  <si>
    <t>D100*5전</t>
  </si>
  <si>
    <t>조절포인트</t>
  </si>
  <si>
    <t>파이프가이드_상</t>
  </si>
  <si>
    <t>방화용_커버</t>
  </si>
  <si>
    <t>방화용_오링</t>
  </si>
  <si>
    <t>일체형_벽체_슬리브</t>
  </si>
  <si>
    <t>65A</t>
  </si>
  <si>
    <t>85A</t>
  </si>
  <si>
    <t>105A</t>
  </si>
  <si>
    <t>135A</t>
  </si>
  <si>
    <t>마감링</t>
  </si>
  <si>
    <t>25A*65A</t>
  </si>
  <si>
    <t>25A*85A</t>
  </si>
  <si>
    <t xml:space="preserve">32A(35A)*65A </t>
  </si>
  <si>
    <t>32A(35A)*85A</t>
  </si>
  <si>
    <t>40A*85A</t>
  </si>
  <si>
    <t>50A*85A</t>
  </si>
  <si>
    <t>50A*105A</t>
  </si>
  <si>
    <t>65A*105A</t>
  </si>
  <si>
    <t>65A*135A</t>
  </si>
  <si>
    <t>75A*135A</t>
  </si>
  <si>
    <t>100A*150A</t>
  </si>
  <si>
    <t>금속관&amp;C-PVC</t>
  </si>
  <si>
    <t>C-PVC</t>
  </si>
  <si>
    <t>금속관</t>
  </si>
  <si>
    <t>금속관&amp;비금속관&amp;C-PVC</t>
  </si>
  <si>
    <t>PPI C-PVC</t>
  </si>
  <si>
    <t>금속관&amp;비금속관</t>
  </si>
  <si>
    <t>대리점A</t>
    <phoneticPr fontId="28" type="noConversion"/>
  </si>
  <si>
    <t>대리점B</t>
    <phoneticPr fontId="28" type="noConversion"/>
  </si>
  <si>
    <t>설비사</t>
    <phoneticPr fontId="28" type="noConversion"/>
  </si>
  <si>
    <t>협가 기준 판매가 비율</t>
    <phoneticPr fontId="28" type="noConversion"/>
  </si>
  <si>
    <t>이익률</t>
    <phoneticPr fontId="2" type="noConversion"/>
  </si>
  <si>
    <t>자 재 발 주 서 (고정구)</t>
    <phoneticPr fontId="28" type="noConversion"/>
  </si>
  <si>
    <t>발주일자 :</t>
    <phoneticPr fontId="28" type="noConversion"/>
  </si>
  <si>
    <t xml:space="preserve">납품요청일 : </t>
    <phoneticPr fontId="28" type="noConversion"/>
  </si>
  <si>
    <t>발 주 처</t>
  </si>
  <si>
    <t>탑디뉴스</t>
    <phoneticPr fontId="28" type="noConversion"/>
  </si>
  <si>
    <t>수 신 처</t>
  </si>
  <si>
    <t>필립산업㈜</t>
    <phoneticPr fontId="28" type="noConversion"/>
  </si>
  <si>
    <t>TEL</t>
    <phoneticPr fontId="28" type="noConversion"/>
  </si>
  <si>
    <t>010-9308-5358</t>
    <phoneticPr fontId="28" type="noConversion"/>
  </si>
  <si>
    <t>031-592-6960</t>
    <phoneticPr fontId="28" type="noConversion"/>
  </si>
  <si>
    <t>FAX</t>
    <phoneticPr fontId="28" type="noConversion"/>
  </si>
  <si>
    <t>031-8056-9544</t>
    <phoneticPr fontId="28" type="noConversion"/>
  </si>
  <si>
    <t>031-592-0953</t>
    <phoneticPr fontId="28" type="noConversion"/>
  </si>
  <si>
    <t>E-mail</t>
    <phoneticPr fontId="28" type="noConversion"/>
  </si>
  <si>
    <t>pl3077@naver.com</t>
    <phoneticPr fontId="28" type="noConversion"/>
  </si>
  <si>
    <t xml:space="preserve">필수기재사항 </t>
    <phoneticPr fontId="28" type="noConversion"/>
  </si>
  <si>
    <t>현 장 명</t>
  </si>
  <si>
    <t>담당자</t>
    <phoneticPr fontId="28" type="noConversion"/>
  </si>
  <si>
    <t>연락처</t>
    <phoneticPr fontId="28" type="noConversion"/>
  </si>
  <si>
    <t>품 명</t>
  </si>
  <si>
    <t>배관</t>
    <phoneticPr fontId="28" type="noConversion"/>
  </si>
  <si>
    <t>단위</t>
    <phoneticPr fontId="28" type="noConversion"/>
  </si>
  <si>
    <t>수량</t>
    <phoneticPr fontId="28" type="noConversion"/>
  </si>
  <si>
    <t>비 고</t>
  </si>
  <si>
    <t>합  계</t>
    <phoneticPr fontId="28" type="noConversion"/>
  </si>
  <si>
    <t>롤</t>
  </si>
  <si>
    <t>남품장소 예시</t>
  </si>
  <si>
    <t>주소 예시</t>
  </si>
  <si>
    <t>인수자 예시</t>
  </si>
  <si>
    <t>연락처 예시</t>
  </si>
  <si>
    <t>요청사항 예시</t>
  </si>
  <si>
    <t>PNG</t>
    <phoneticPr fontId="28" type="noConversion"/>
  </si>
  <si>
    <t>그린에스앤와이</t>
    <phoneticPr fontId="28" type="noConversion"/>
  </si>
  <si>
    <t>상호명</t>
    <phoneticPr fontId="28" type="noConversion"/>
  </si>
  <si>
    <t>번호</t>
    <phoneticPr fontId="28" type="noConversion"/>
  </si>
  <si>
    <t>38T*200*4800</t>
  </si>
  <si>
    <t>내화채움구조(벽체,강관용)</t>
  </si>
  <si>
    <t>차열재 개수</t>
    <phoneticPr fontId="28" type="noConversion"/>
  </si>
  <si>
    <t>차열재 개수</t>
    <phoneticPr fontId="2" type="noConversion"/>
  </si>
  <si>
    <t>예시용</t>
  </si>
  <si>
    <t>현장명 예시</t>
  </si>
  <si>
    <t>납품처 예시</t>
  </si>
  <si>
    <r>
      <t xml:space="preserve">탑 디뉴스 </t>
    </r>
    <r>
      <rPr>
        <b/>
        <sz val="14"/>
        <color theme="1"/>
        <rFont val="맑은 고딕"/>
        <family val="3"/>
        <charset val="129"/>
        <scheme val="major"/>
      </rPr>
      <t xml:space="preserve">( </t>
    </r>
    <r>
      <rPr>
        <b/>
        <sz val="14"/>
        <color rgb="FFFF0000"/>
        <rFont val="맑은 고딕"/>
        <family val="3"/>
        <charset val="129"/>
        <scheme val="major"/>
      </rPr>
      <t>T</t>
    </r>
    <r>
      <rPr>
        <b/>
        <sz val="14"/>
        <color theme="1"/>
        <rFont val="맑은 고딕"/>
        <family val="3"/>
        <charset val="129"/>
        <scheme val="major"/>
      </rPr>
      <t xml:space="preserve">otal </t>
    </r>
    <r>
      <rPr>
        <b/>
        <sz val="14"/>
        <color rgb="FFFF0000"/>
        <rFont val="맑은 고딕"/>
        <family val="3"/>
        <charset val="129"/>
        <scheme val="major"/>
      </rPr>
      <t>O</t>
    </r>
    <r>
      <rPr>
        <b/>
        <sz val="14"/>
        <color theme="1"/>
        <rFont val="맑은 고딕"/>
        <family val="3"/>
        <charset val="129"/>
        <scheme val="major"/>
      </rPr>
      <t>f fire</t>
    </r>
    <r>
      <rPr>
        <b/>
        <sz val="14"/>
        <color rgb="FFFF0000"/>
        <rFont val="맑은 고딕"/>
        <family val="3"/>
        <charset val="129"/>
        <scheme val="major"/>
      </rPr>
      <t>P</t>
    </r>
    <r>
      <rPr>
        <b/>
        <sz val="14"/>
        <color theme="1"/>
        <rFont val="맑은 고딕"/>
        <family val="3"/>
        <charset val="129"/>
        <scheme val="major"/>
      </rPr>
      <t>roof Material )</t>
    </r>
    <phoneticPr fontId="2" type="noConversion"/>
  </si>
  <si>
    <t>e-mail) topdi@topdignus.co.kr</t>
    <phoneticPr fontId="2" type="noConversion"/>
  </si>
  <si>
    <t>견 적 번 호</t>
    <phoneticPr fontId="2" type="noConversion"/>
  </si>
  <si>
    <t>견 적 일 자</t>
    <phoneticPr fontId="2" type="noConversion"/>
  </si>
  <si>
    <t>현  장  명</t>
    <phoneticPr fontId="2" type="noConversion"/>
  </si>
  <si>
    <t>품         목</t>
    <phoneticPr fontId="2" type="noConversion"/>
  </si>
  <si>
    <t>규격
(배관 * 슬리브)</t>
    <phoneticPr fontId="2" type="noConversion"/>
  </si>
  <si>
    <t>차열재</t>
    <phoneticPr fontId="2" type="noConversion"/>
  </si>
  <si>
    <t>차열재</t>
  </si>
  <si>
    <t>50T*200*3600</t>
    <phoneticPr fontId="28" type="noConversion"/>
  </si>
  <si>
    <t>50T*400*3600</t>
    <phoneticPr fontId="28" type="noConversion"/>
  </si>
  <si>
    <t>300A</t>
    <phoneticPr fontId="28" type="noConversion"/>
  </si>
  <si>
    <t>350A</t>
    <phoneticPr fontId="28" type="noConversion"/>
  </si>
  <si>
    <t>400A</t>
    <phoneticPr fontId="28" type="noConversion"/>
  </si>
  <si>
    <t>50T*200*3600 + 50T*400*3600 * 2</t>
  </si>
  <si>
    <t>50T*200*3600 + 50T*400*3600 * 2</t>
    <phoneticPr fontId="28" type="noConversion"/>
  </si>
  <si>
    <t>차열재 50T*200*3600</t>
    <phoneticPr fontId="2" type="noConversion"/>
  </si>
  <si>
    <t>차열재 50T*400*3600</t>
    <phoneticPr fontId="2" type="noConversion"/>
  </si>
  <si>
    <t>원형덕트</t>
  </si>
  <si>
    <t>원형덕트</t>
    <phoneticPr fontId="28" type="noConversion"/>
  </si>
  <si>
    <t>벽체_강관_15A</t>
  </si>
  <si>
    <t>인정번호</t>
    <phoneticPr fontId="28" type="noConversion"/>
  </si>
  <si>
    <t>FS-MP24-1205-13</t>
  </si>
  <si>
    <t>FS-NP24-1205-10</t>
  </si>
  <si>
    <t>FS-MP25-0718-04</t>
  </si>
  <si>
    <t>FS-MP24-1205-06</t>
  </si>
  <si>
    <t>FS-MP24-1205-07</t>
  </si>
  <si>
    <t>FS-NP25-0718-02</t>
  </si>
  <si>
    <t>FS-NP25-0718-03</t>
  </si>
  <si>
    <t>대구경 인정서, 개구부 간격 50.85mm이하</t>
  </si>
  <si>
    <t>대구경 인정서, 개구부 간격 50.85mm이하</t>
    <phoneticPr fontId="28" type="noConversion"/>
  </si>
  <si>
    <t>분류</t>
    <phoneticPr fontId="28" type="noConversion"/>
  </si>
  <si>
    <t>거래처 상호</t>
    <phoneticPr fontId="2" type="noConversion"/>
  </si>
  <si>
    <t>PNG</t>
  </si>
  <si>
    <t>2026-05-06 수정</t>
    <phoneticPr fontId="28" type="noConversion"/>
  </si>
  <si>
    <t>15*25</t>
    <phoneticPr fontId="2" type="noConversion"/>
  </si>
  <si>
    <t>견적서 품명</t>
    <phoneticPr fontId="2" type="noConversion"/>
  </si>
  <si>
    <t>topdi@topdignus.co.kr</t>
    <phoneticPr fontId="2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</si>
</sst>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176" formatCode="yyyy&quot;년&quot;\ m&quot;월&quot;\ d&quot;일&quot;;@"/>
    <numFmt numFmtId="177" formatCode="[$-F800]dddd\,\ mmmm\ dd\,\ yyyy"/>
    <numFmt numFmtId="178" formatCode="0.00_);[Red]\(0.00\)"/>
    <numFmt numFmtId="179" formatCode="#,##0_);[Red]\(#,##0\)"/>
    <numFmt numFmtId="180" formatCode="0.0_ "/>
    <numFmt numFmtId="181" formatCode="0_);[Red]\(0\)"/>
    <numFmt numFmtId="182" formatCode="0_);\(0\)"/>
    <numFmt numFmtId="183" formatCode="#,##0_ "/>
    <numFmt numFmtId="184" formatCode="mm&quot;월&quot;\ dd&quot;일&quot;"/>
    <numFmt numFmtId="185" formatCode="0.000_);[Red]\(0.000\)"/>
  </numFmts>
  <fonts count="82">
    <font>
      <sz val="11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</font>
    <font>
      <b/>
      <sz val="14"/>
      <color theme="1"/>
      <name val="문체부 바탕체"/>
      <family val="1"/>
      <charset val="129"/>
    </font>
    <font>
      <b/>
      <u/>
      <sz val="14"/>
      <color theme="1"/>
      <name val="맑은 고딕"/>
      <family val="3"/>
      <charset val="129"/>
    </font>
    <font>
      <sz val="14"/>
      <color theme="1"/>
      <name val="문체부 바탕체"/>
      <family val="1"/>
      <charset val="129"/>
    </font>
    <font>
      <b/>
      <sz val="18"/>
      <color theme="1"/>
      <name val="문체부 바탕체"/>
      <family val="1"/>
      <charset val="129"/>
    </font>
    <font>
      <b/>
      <sz val="12"/>
      <color theme="1"/>
      <name val="문체부 바탕체"/>
      <family val="1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문체부 바탕체"/>
      <family val="1"/>
      <charset val="129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문체부 바탕체"/>
      <family val="1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29"/>
    </font>
    <font>
      <b/>
      <sz val="14"/>
      <color theme="1"/>
      <name val="맑은 고딕"/>
      <family val="3"/>
      <charset val="129"/>
    </font>
    <font>
      <b/>
      <sz val="14"/>
      <color rgb="FFFF0000"/>
      <name val="맑은 고딕"/>
      <family val="3"/>
      <charset val="129"/>
    </font>
    <font>
      <b/>
      <u/>
      <sz val="14"/>
      <color theme="1"/>
      <name val="문체부 바탕체"/>
      <family val="1"/>
      <charset val="129"/>
    </font>
    <font>
      <b/>
      <sz val="11"/>
      <color rgb="FFFF0000"/>
      <name val="문체부 바탕체"/>
      <family val="1"/>
      <charset val="129"/>
    </font>
    <font>
      <b/>
      <sz val="12"/>
      <color theme="1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b/>
      <sz val="12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</font>
    <font>
      <sz val="10"/>
      <color theme="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4"/>
      <color theme="0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sz val="14"/>
      <color theme="1"/>
      <name val="맑은 고딕"/>
      <family val="2"/>
      <charset val="129"/>
    </font>
    <font>
      <sz val="14"/>
      <color theme="1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</font>
    <font>
      <b/>
      <sz val="20"/>
      <color theme="0"/>
      <name val="맑은 고딕"/>
      <family val="3"/>
      <charset val="129"/>
    </font>
    <font>
      <b/>
      <sz val="16"/>
      <color theme="0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6"/>
      <color theme="1"/>
      <name val="맑은 고딕"/>
      <family val="3"/>
      <charset val="129"/>
    </font>
    <font>
      <b/>
      <sz val="18"/>
      <color theme="1"/>
      <name val="맑은 고딕"/>
      <family val="3"/>
      <charset val="129"/>
    </font>
    <font>
      <b/>
      <sz val="14"/>
      <color theme="1"/>
      <name val="맑은 고딕"/>
      <family val="1"/>
      <charset val="129"/>
    </font>
    <font>
      <sz val="12"/>
      <color theme="1"/>
      <name val="맑은 고딕"/>
      <family val="3"/>
      <charset val="129"/>
    </font>
    <font>
      <b/>
      <sz val="22"/>
      <color theme="1"/>
      <name val="맑은 고딕"/>
      <family val="3"/>
      <charset val="129"/>
    </font>
    <font>
      <sz val="16"/>
      <color theme="1"/>
      <name val="맑은 고딕"/>
      <family val="2"/>
      <charset val="129"/>
    </font>
    <font>
      <b/>
      <sz val="20"/>
      <color theme="1"/>
      <name val="맑은 고딕"/>
      <family val="3"/>
      <charset val="129"/>
    </font>
    <font>
      <b/>
      <sz val="22"/>
      <color rgb="FFFF0000"/>
      <name val="맑은 고딕"/>
      <family val="3"/>
      <charset val="129"/>
    </font>
    <font>
      <sz val="11"/>
      <name val="돋움"/>
      <family val="3"/>
      <charset val="129"/>
    </font>
    <font>
      <sz val="18"/>
      <color theme="1"/>
      <name val="맑은 고딕"/>
      <family val="2"/>
      <charset val="129"/>
    </font>
    <font>
      <sz val="20"/>
      <color theme="1"/>
      <name val="맑은 고딕"/>
      <family val="2"/>
      <charset val="129"/>
    </font>
    <font>
      <b/>
      <sz val="9"/>
      <color indexed="81"/>
      <name val="Tahoma"/>
      <family val="2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바탕체"/>
      <family val="1"/>
      <charset val="129"/>
    </font>
    <font>
      <sz val="12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ajor"/>
    </font>
    <font>
      <b/>
      <sz val="16"/>
      <color rgb="FFFF0000"/>
      <name val="맑은 고딕"/>
      <family val="3"/>
      <charset val="129"/>
    </font>
    <font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u/>
      <sz val="11"/>
      <color theme="10"/>
      <name val="맑은 고딕"/>
      <family val="2"/>
      <charset val="129"/>
    </font>
    <font>
      <b/>
      <sz val="25"/>
      <color rgb="FF000000"/>
      <name val="맑은 고딕"/>
      <family val="3"/>
      <charset val="129"/>
      <scheme val="minor"/>
    </font>
    <font>
      <sz val="13"/>
      <color rgb="FF000000"/>
      <name val="맑은 고딕"/>
      <family val="3"/>
      <charset val="129"/>
      <scheme val="minor"/>
    </font>
    <font>
      <b/>
      <sz val="13"/>
      <color rgb="FF000000"/>
      <name val="맑은 고딕"/>
      <family val="3"/>
      <charset val="129"/>
      <scheme val="minor"/>
    </font>
    <font>
      <b/>
      <sz val="15"/>
      <color rgb="FF000000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b/>
      <sz val="15"/>
      <color rgb="FFFF000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ajor"/>
    </font>
    <font>
      <b/>
      <sz val="24"/>
      <color theme="1"/>
      <name val="맑은 고딕"/>
      <family val="3"/>
      <charset val="129"/>
      <scheme val="major"/>
    </font>
    <font>
      <b/>
      <sz val="14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</font>
    <font>
      <b/>
      <sz val="16"/>
      <color theme="1"/>
      <name val="맑은 고딕"/>
      <family val="3"/>
      <charset val="129"/>
      <scheme val="minor"/>
    </font>
    <font>
      <b/>
      <sz val="12"/>
      <color rgb="FFFF0000"/>
      <name val="맑은 고딕"/>
      <family val="3"/>
      <charset val="129"/>
    </font>
  </fonts>
  <fills count="15">
    <fill>
      <patternFill patternType="none"/>
    </fill>
    <fill>
      <patternFill patternType="gray125"/>
    </fill>
    <fill>
      <patternFill patternType="solid">
        <fgColor rgb="FFB4B47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E127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lightTrellis">
        <bgColor theme="0"/>
      </patternFill>
    </fill>
    <fill>
      <patternFill patternType="solid">
        <fgColor theme="5" tint="0.39997558519241921"/>
        <bgColor indexed="64"/>
      </patternFill>
    </fill>
  </fills>
  <borders count="119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8">
    <xf numFmtId="0" fontId="0" fillId="0" borderId="0">
      <alignment vertical="center"/>
    </xf>
    <xf numFmtId="0" fontId="13" fillId="0" borderId="0">
      <alignment vertical="center"/>
    </xf>
    <xf numFmtId="9" fontId="14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41" fontId="27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50" fillId="0" borderId="0"/>
    <xf numFmtId="0" fontId="10" fillId="0" borderId="0">
      <alignment vertical="center"/>
    </xf>
    <xf numFmtId="0" fontId="14" fillId="0" borderId="0">
      <alignment vertical="center"/>
    </xf>
    <xf numFmtId="9" fontId="1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</cellStyleXfs>
  <cellXfs count="788">
    <xf numFmtId="0" fontId="0" fillId="0" borderId="0" xfId="0">
      <alignment vertical="center"/>
    </xf>
    <xf numFmtId="0" fontId="8" fillId="0" borderId="0" xfId="0" applyFont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4" borderId="0" xfId="0" applyFill="1">
      <alignment vertical="center"/>
    </xf>
    <xf numFmtId="0" fontId="8" fillId="0" borderId="1" xfId="0" applyFont="1" applyBorder="1">
      <alignment vertical="center"/>
    </xf>
    <xf numFmtId="177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0" borderId="0" xfId="0" applyFont="1">
      <alignment vertical="center"/>
    </xf>
    <xf numFmtId="41" fontId="24" fillId="0" borderId="0" xfId="0" applyNumberFormat="1" applyFont="1">
      <alignment vertical="center"/>
    </xf>
    <xf numFmtId="41" fontId="30" fillId="0" borderId="0" xfId="0" applyNumberFormat="1" applyFont="1">
      <alignment vertical="center"/>
    </xf>
    <xf numFmtId="179" fontId="0" fillId="0" borderId="0" xfId="0" applyNumberFormat="1">
      <alignment vertical="center"/>
    </xf>
    <xf numFmtId="41" fontId="23" fillId="0" borderId="0" xfId="0" applyNumberFormat="1" applyFont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2" fillId="0" borderId="1" xfId="1" applyFont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11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41" fontId="0" fillId="0" borderId="0" xfId="0" applyNumberFormat="1">
      <alignment vertical="center"/>
    </xf>
    <xf numFmtId="0" fontId="10" fillId="0" borderId="0" xfId="0" applyFont="1" applyAlignment="1">
      <alignment horizontal="left" vertical="center"/>
    </xf>
    <xf numFmtId="41" fontId="10" fillId="0" borderId="0" xfId="5" applyFont="1" applyAlignment="1">
      <alignment horizontal="left" vertical="center"/>
    </xf>
    <xf numFmtId="41" fontId="0" fillId="0" borderId="0" xfId="5" applyFont="1">
      <alignment vertical="center"/>
    </xf>
    <xf numFmtId="41" fontId="0" fillId="0" borderId="0" xfId="5" applyFont="1" applyAlignment="1">
      <alignment horizontal="center" vertical="center"/>
    </xf>
    <xf numFmtId="41" fontId="11" fillId="0" borderId="0" xfId="5" applyFont="1">
      <alignment vertical="center"/>
    </xf>
    <xf numFmtId="41" fontId="21" fillId="4" borderId="1" xfId="5" applyFont="1" applyFill="1" applyBorder="1" applyAlignment="1">
      <alignment horizontal="center" vertical="center"/>
    </xf>
    <xf numFmtId="41" fontId="22" fillId="0" borderId="1" xfId="5" applyFont="1" applyBorder="1" applyAlignment="1">
      <alignment horizontal="center" vertical="center"/>
    </xf>
    <xf numFmtId="182" fontId="0" fillId="0" borderId="0" xfId="0" applyNumberFormat="1">
      <alignment vertical="center"/>
    </xf>
    <xf numFmtId="0" fontId="8" fillId="0" borderId="14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41" fontId="40" fillId="5" borderId="18" xfId="0" applyNumberFormat="1" applyFont="1" applyFill="1" applyBorder="1">
      <alignment vertical="center"/>
    </xf>
    <xf numFmtId="0" fontId="35" fillId="9" borderId="12" xfId="0" applyFont="1" applyFill="1" applyBorder="1" applyAlignment="1">
      <alignment horizontal="center" vertical="center"/>
    </xf>
    <xf numFmtId="179" fontId="35" fillId="9" borderId="12" xfId="0" applyNumberFormat="1" applyFont="1" applyFill="1" applyBorder="1" applyAlignment="1">
      <alignment horizontal="center" vertical="center"/>
    </xf>
    <xf numFmtId="179" fontId="35" fillId="9" borderId="7" xfId="0" applyNumberFormat="1" applyFont="1" applyFill="1" applyBorder="1" applyAlignment="1">
      <alignment horizontal="center" vertical="center"/>
    </xf>
    <xf numFmtId="0" fontId="35" fillId="9" borderId="7" xfId="0" applyFont="1" applyFill="1" applyBorder="1" applyAlignment="1">
      <alignment horizontal="center" vertical="center"/>
    </xf>
    <xf numFmtId="0" fontId="10" fillId="0" borderId="7" xfId="0" applyFont="1" applyBorder="1">
      <alignment vertical="center"/>
    </xf>
    <xf numFmtId="0" fontId="35" fillId="7" borderId="12" xfId="0" applyFont="1" applyFill="1" applyBorder="1" applyAlignment="1">
      <alignment horizontal="left" vertical="center"/>
    </xf>
    <xf numFmtId="0" fontId="35" fillId="7" borderId="12" xfId="0" applyFont="1" applyFill="1" applyBorder="1" applyAlignment="1">
      <alignment horizontal="center" vertical="center"/>
    </xf>
    <xf numFmtId="0" fontId="0" fillId="3" borderId="0" xfId="0" applyFill="1">
      <alignment vertical="center"/>
    </xf>
    <xf numFmtId="41" fontId="31" fillId="0" borderId="7" xfId="0" applyNumberFormat="1" applyFont="1" applyBorder="1">
      <alignment vertical="center"/>
    </xf>
    <xf numFmtId="41" fontId="31" fillId="0" borderId="12" xfId="0" applyNumberFormat="1" applyFont="1" applyBorder="1">
      <alignment vertical="center"/>
    </xf>
    <xf numFmtId="0" fontId="10" fillId="11" borderId="10" xfId="0" applyFont="1" applyFill="1" applyBorder="1" applyAlignment="1">
      <alignment horizontal="center" vertical="center"/>
    </xf>
    <xf numFmtId="41" fontId="10" fillId="11" borderId="10" xfId="5" applyFont="1" applyFill="1" applyBorder="1" applyAlignment="1">
      <alignment horizontal="center" vertical="center"/>
    </xf>
    <xf numFmtId="0" fontId="10" fillId="11" borderId="7" xfId="0" applyFont="1" applyFill="1" applyBorder="1">
      <alignment vertical="center"/>
    </xf>
    <xf numFmtId="0" fontId="10" fillId="11" borderId="7" xfId="0" applyFont="1" applyFill="1" applyBorder="1" applyAlignment="1">
      <alignment horizontal="center" vertical="center"/>
    </xf>
    <xf numFmtId="41" fontId="10" fillId="11" borderId="7" xfId="5" applyFont="1" applyFill="1" applyBorder="1" applyAlignment="1">
      <alignment horizontal="center" vertical="center"/>
    </xf>
    <xf numFmtId="0" fontId="34" fillId="0" borderId="0" xfId="0" applyFont="1">
      <alignment vertical="center"/>
    </xf>
    <xf numFmtId="0" fontId="45" fillId="0" borderId="0" xfId="0" applyFont="1">
      <alignment vertical="center"/>
    </xf>
    <xf numFmtId="0" fontId="47" fillId="0" borderId="0" xfId="0" applyFont="1">
      <alignment vertical="center"/>
    </xf>
    <xf numFmtId="0" fontId="15" fillId="12" borderId="12" xfId="0" applyFont="1" applyFill="1" applyBorder="1" applyAlignment="1">
      <alignment horizontal="center" vertical="center"/>
    </xf>
    <xf numFmtId="41" fontId="10" fillId="11" borderId="20" xfId="5" applyFont="1" applyFill="1" applyBorder="1" applyAlignment="1">
      <alignment horizontal="center" vertical="center"/>
    </xf>
    <xf numFmtId="41" fontId="31" fillId="11" borderId="36" xfId="0" applyNumberFormat="1" applyFont="1" applyFill="1" applyBorder="1">
      <alignment vertical="center"/>
    </xf>
    <xf numFmtId="0" fontId="8" fillId="13" borderId="14" xfId="0" applyFont="1" applyFill="1" applyBorder="1" applyAlignment="1">
      <alignment horizontal="center" vertical="center"/>
    </xf>
    <xf numFmtId="0" fontId="35" fillId="13" borderId="7" xfId="0" applyFont="1" applyFill="1" applyBorder="1" applyAlignment="1">
      <alignment horizontal="center" vertical="center"/>
    </xf>
    <xf numFmtId="179" fontId="35" fillId="13" borderId="7" xfId="0" applyNumberFormat="1" applyFont="1" applyFill="1" applyBorder="1" applyAlignment="1">
      <alignment horizontal="center" vertical="center"/>
    </xf>
    <xf numFmtId="0" fontId="35" fillId="13" borderId="20" xfId="0" applyFont="1" applyFill="1" applyBorder="1" applyAlignment="1">
      <alignment horizontal="center" vertical="center"/>
    </xf>
    <xf numFmtId="0" fontId="8" fillId="13" borderId="15" xfId="0" applyFont="1" applyFill="1" applyBorder="1" applyAlignment="1">
      <alignment horizontal="center" vertical="center"/>
    </xf>
    <xf numFmtId="0" fontId="35" fillId="13" borderId="17" xfId="0" applyFont="1" applyFill="1" applyBorder="1" applyAlignment="1">
      <alignment horizontal="center" vertical="center"/>
    </xf>
    <xf numFmtId="179" fontId="35" fillId="13" borderId="17" xfId="0" applyNumberFormat="1" applyFont="1" applyFill="1" applyBorder="1" applyAlignment="1">
      <alignment horizontal="center" vertical="center"/>
    </xf>
    <xf numFmtId="0" fontId="35" fillId="13" borderId="25" xfId="0" applyFont="1" applyFill="1" applyBorder="1" applyAlignment="1">
      <alignment horizontal="center" vertical="center"/>
    </xf>
    <xf numFmtId="181" fontId="0" fillId="0" borderId="0" xfId="0" applyNumberFormat="1">
      <alignment vertical="center"/>
    </xf>
    <xf numFmtId="181" fontId="45" fillId="0" borderId="0" xfId="0" applyNumberFormat="1" applyFont="1">
      <alignment vertical="center"/>
    </xf>
    <xf numFmtId="181" fontId="15" fillId="12" borderId="12" xfId="0" applyNumberFormat="1" applyFont="1" applyFill="1" applyBorder="1" applyAlignment="1">
      <alignment horizontal="center" vertical="center"/>
    </xf>
    <xf numFmtId="181" fontId="35" fillId="13" borderId="20" xfId="0" applyNumberFormat="1" applyFont="1" applyFill="1" applyBorder="1" applyAlignment="1">
      <alignment horizontal="center" vertical="center"/>
    </xf>
    <xf numFmtId="181" fontId="34" fillId="0" borderId="0" xfId="0" applyNumberFormat="1" applyFont="1">
      <alignment vertical="center"/>
    </xf>
    <xf numFmtId="181" fontId="47" fillId="0" borderId="0" xfId="0" applyNumberFormat="1" applyFont="1">
      <alignment vertical="center"/>
    </xf>
    <xf numFmtId="181" fontId="35" fillId="9" borderId="12" xfId="0" applyNumberFormat="1" applyFont="1" applyFill="1" applyBorder="1" applyAlignment="1">
      <alignment horizontal="center" vertical="center"/>
    </xf>
    <xf numFmtId="181" fontId="35" fillId="9" borderId="7" xfId="0" applyNumberFormat="1" applyFont="1" applyFill="1" applyBorder="1" applyAlignment="1">
      <alignment horizontal="center" vertical="center"/>
    </xf>
    <xf numFmtId="181" fontId="35" fillId="13" borderId="7" xfId="0" applyNumberFormat="1" applyFont="1" applyFill="1" applyBorder="1" applyAlignment="1">
      <alignment horizontal="center" vertical="center"/>
    </xf>
    <xf numFmtId="181" fontId="35" fillId="13" borderId="17" xfId="0" applyNumberFormat="1" applyFont="1" applyFill="1" applyBorder="1" applyAlignment="1">
      <alignment horizontal="center" vertical="center"/>
    </xf>
    <xf numFmtId="181" fontId="26" fillId="0" borderId="19" xfId="0" applyNumberFormat="1" applyFont="1" applyBorder="1" applyAlignment="1">
      <alignment horizontal="center" vertical="center"/>
    </xf>
    <xf numFmtId="0" fontId="48" fillId="7" borderId="12" xfId="0" applyFont="1" applyFill="1" applyBorder="1" applyAlignment="1">
      <alignment horizontal="left" vertical="center"/>
    </xf>
    <xf numFmtId="181" fontId="35" fillId="13" borderId="25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41" fontId="15" fillId="12" borderId="12" xfId="0" applyNumberFormat="1" applyFont="1" applyFill="1" applyBorder="1" applyAlignment="1">
      <alignment horizontal="right" vertical="center"/>
    </xf>
    <xf numFmtId="41" fontId="15" fillId="12" borderId="24" xfId="0" applyNumberFormat="1" applyFont="1" applyFill="1" applyBorder="1" applyAlignment="1">
      <alignment horizontal="right" vertical="center"/>
    </xf>
    <xf numFmtId="41" fontId="22" fillId="0" borderId="1" xfId="1" applyNumberFormat="1" applyFont="1" applyBorder="1" applyAlignment="1">
      <alignment horizontal="center" vertical="center"/>
    </xf>
    <xf numFmtId="183" fontId="51" fillId="0" borderId="0" xfId="0" applyNumberFormat="1" applyFont="1">
      <alignment vertical="center"/>
    </xf>
    <xf numFmtId="183" fontId="52" fillId="0" borderId="0" xfId="0" applyNumberFormat="1" applyFont="1">
      <alignment vertical="center"/>
    </xf>
    <xf numFmtId="0" fontId="8" fillId="0" borderId="44" xfId="0" applyFont="1" applyBorder="1" applyAlignment="1">
      <alignment horizontal="center" vertical="center"/>
    </xf>
    <xf numFmtId="0" fontId="0" fillId="0" borderId="44" xfId="0" applyBorder="1">
      <alignment vertical="center"/>
    </xf>
    <xf numFmtId="0" fontId="31" fillId="0" borderId="46" xfId="0" applyFont="1" applyBorder="1">
      <alignment vertical="center"/>
    </xf>
    <xf numFmtId="0" fontId="0" fillId="0" borderId="46" xfId="0" applyBorder="1">
      <alignment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0" fontId="35" fillId="9" borderId="44" xfId="0" applyFont="1" applyFill="1" applyBorder="1" applyAlignment="1">
      <alignment horizontal="center" vertical="center"/>
    </xf>
    <xf numFmtId="0" fontId="10" fillId="0" borderId="10" xfId="0" applyFont="1" applyBorder="1">
      <alignment vertical="center"/>
    </xf>
    <xf numFmtId="0" fontId="10" fillId="0" borderId="10" xfId="0" applyFont="1" applyBorder="1" applyAlignment="1">
      <alignment horizontal="center" vertical="center"/>
    </xf>
    <xf numFmtId="41" fontId="10" fillId="0" borderId="10" xfId="5" applyFont="1" applyFill="1" applyBorder="1" applyAlignment="1">
      <alignment horizontal="center" vertical="center"/>
    </xf>
    <xf numFmtId="0" fontId="10" fillId="0" borderId="44" xfId="0" applyFont="1" applyBorder="1">
      <alignment vertical="center"/>
    </xf>
    <xf numFmtId="0" fontId="10" fillId="0" borderId="44" xfId="0" applyFont="1" applyBorder="1" applyAlignment="1">
      <alignment horizontal="center" vertical="center"/>
    </xf>
    <xf numFmtId="41" fontId="10" fillId="0" borderId="44" xfId="5" applyFont="1" applyFill="1" applyBorder="1" applyAlignment="1">
      <alignment horizontal="center" vertical="center"/>
    </xf>
    <xf numFmtId="0" fontId="10" fillId="0" borderId="48" xfId="0" applyFont="1" applyBorder="1">
      <alignment vertical="center"/>
    </xf>
    <xf numFmtId="0" fontId="10" fillId="0" borderId="48" xfId="0" applyFont="1" applyBorder="1" applyAlignment="1">
      <alignment horizontal="center" vertical="center"/>
    </xf>
    <xf numFmtId="41" fontId="10" fillId="0" borderId="48" xfId="5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178" fontId="12" fillId="0" borderId="0" xfId="0" applyNumberFormat="1" applyFont="1">
      <alignment vertical="center"/>
    </xf>
    <xf numFmtId="41" fontId="19" fillId="12" borderId="24" xfId="0" applyNumberFormat="1" applyFont="1" applyFill="1" applyBorder="1" applyAlignment="1">
      <alignment horizontal="right" vertical="center"/>
    </xf>
    <xf numFmtId="41" fontId="19" fillId="12" borderId="12" xfId="0" applyNumberFormat="1" applyFont="1" applyFill="1" applyBorder="1" applyAlignment="1">
      <alignment horizontal="right" vertical="center"/>
    </xf>
    <xf numFmtId="183" fontId="0" fillId="0" borderId="0" xfId="0" applyNumberFormat="1">
      <alignment vertical="center"/>
    </xf>
    <xf numFmtId="181" fontId="35" fillId="13" borderId="50" xfId="0" applyNumberFormat="1" applyFont="1" applyFill="1" applyBorder="1" applyAlignment="1">
      <alignment horizontal="center" vertical="center"/>
    </xf>
    <xf numFmtId="181" fontId="35" fillId="13" borderId="52" xfId="0" applyNumberFormat="1" applyFont="1" applyFill="1" applyBorder="1" applyAlignment="1">
      <alignment horizontal="center" vertical="center"/>
    </xf>
    <xf numFmtId="0" fontId="35" fillId="13" borderId="50" xfId="0" applyFont="1" applyFill="1" applyBorder="1" applyAlignment="1">
      <alignment horizontal="center" vertical="center"/>
    </xf>
    <xf numFmtId="0" fontId="35" fillId="13" borderId="52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181" fontId="31" fillId="11" borderId="7" xfId="0" applyNumberFormat="1" applyFont="1" applyFill="1" applyBorder="1" applyAlignment="1">
      <alignment horizontal="right" vertical="center"/>
    </xf>
    <xf numFmtId="181" fontId="31" fillId="11" borderId="44" xfId="0" applyNumberFormat="1" applyFont="1" applyFill="1" applyBorder="1" applyAlignment="1">
      <alignment horizontal="right" vertical="center"/>
    </xf>
    <xf numFmtId="181" fontId="31" fillId="11" borderId="10" xfId="0" applyNumberFormat="1" applyFont="1" applyFill="1" applyBorder="1" applyAlignment="1">
      <alignment horizontal="right" vertical="center"/>
    </xf>
    <xf numFmtId="0" fontId="10" fillId="3" borderId="7" xfId="0" applyFont="1" applyFill="1" applyBorder="1">
      <alignment vertical="center"/>
    </xf>
    <xf numFmtId="0" fontId="31" fillId="3" borderId="7" xfId="0" applyFont="1" applyFill="1" applyBorder="1" applyAlignment="1">
      <alignment horizontal="center" vertical="center"/>
    </xf>
    <xf numFmtId="41" fontId="31" fillId="3" borderId="7" xfId="0" applyNumberFormat="1" applyFont="1" applyFill="1" applyBorder="1">
      <alignment vertical="center"/>
    </xf>
    <xf numFmtId="41" fontId="31" fillId="3" borderId="20" xfId="0" applyNumberFormat="1" applyFont="1" applyFill="1" applyBorder="1">
      <alignment vertical="center"/>
    </xf>
    <xf numFmtId="41" fontId="10" fillId="3" borderId="20" xfId="5" applyFont="1" applyFill="1" applyBorder="1">
      <alignment vertical="center"/>
    </xf>
    <xf numFmtId="41" fontId="10" fillId="3" borderId="50" xfId="5" applyFont="1" applyFill="1" applyBorder="1" applyAlignment="1">
      <alignment horizontal="center" vertical="center"/>
    </xf>
    <xf numFmtId="181" fontId="31" fillId="3" borderId="7" xfId="0" applyNumberFormat="1" applyFont="1" applyFill="1" applyBorder="1">
      <alignment vertical="center"/>
    </xf>
    <xf numFmtId="181" fontId="31" fillId="3" borderId="44" xfId="0" applyNumberFormat="1" applyFont="1" applyFill="1" applyBorder="1">
      <alignment vertical="center"/>
    </xf>
    <xf numFmtId="178" fontId="31" fillId="3" borderId="44" xfId="0" applyNumberFormat="1" applyFont="1" applyFill="1" applyBorder="1">
      <alignment vertical="center"/>
    </xf>
    <xf numFmtId="179" fontId="31" fillId="3" borderId="44" xfId="0" applyNumberFormat="1" applyFont="1" applyFill="1" applyBorder="1">
      <alignment vertical="center"/>
    </xf>
    <xf numFmtId="0" fontId="31" fillId="3" borderId="44" xfId="0" applyFont="1" applyFill="1" applyBorder="1" applyAlignment="1">
      <alignment horizontal="center" vertical="center"/>
    </xf>
    <xf numFmtId="41" fontId="31" fillId="3" borderId="44" xfId="0" applyNumberFormat="1" applyFont="1" applyFill="1" applyBorder="1">
      <alignment vertical="center"/>
    </xf>
    <xf numFmtId="41" fontId="31" fillId="3" borderId="50" xfId="0" applyNumberFormat="1" applyFont="1" applyFill="1" applyBorder="1">
      <alignment vertical="center"/>
    </xf>
    <xf numFmtId="41" fontId="10" fillId="3" borderId="50" xfId="5" applyFont="1" applyFill="1" applyBorder="1">
      <alignment vertical="center"/>
    </xf>
    <xf numFmtId="0" fontId="10" fillId="3" borderId="7" xfId="0" applyFont="1" applyFill="1" applyBorder="1" applyAlignment="1">
      <alignment horizontal="center" vertical="center"/>
    </xf>
    <xf numFmtId="41" fontId="10" fillId="3" borderId="7" xfId="5" applyFont="1" applyFill="1" applyBorder="1">
      <alignment vertical="center"/>
    </xf>
    <xf numFmtId="41" fontId="10" fillId="3" borderId="7" xfId="5" applyFont="1" applyFill="1" applyBorder="1" applyAlignment="1">
      <alignment horizontal="center" vertical="center"/>
    </xf>
    <xf numFmtId="41" fontId="10" fillId="3" borderId="20" xfId="5" applyFont="1" applyFill="1" applyBorder="1" applyAlignment="1">
      <alignment horizontal="center" vertical="center"/>
    </xf>
    <xf numFmtId="0" fontId="10" fillId="3" borderId="44" xfId="0" applyFont="1" applyFill="1" applyBorder="1" applyAlignment="1">
      <alignment horizontal="center" vertical="center"/>
    </xf>
    <xf numFmtId="41" fontId="10" fillId="3" borderId="44" xfId="5" applyFont="1" applyFill="1" applyBorder="1">
      <alignment vertical="center"/>
    </xf>
    <xf numFmtId="181" fontId="31" fillId="0" borderId="10" xfId="0" applyNumberFormat="1" applyFont="1" applyBorder="1" applyAlignment="1">
      <alignment horizontal="right" vertical="center"/>
    </xf>
    <xf numFmtId="178" fontId="31" fillId="0" borderId="10" xfId="0" applyNumberFormat="1" applyFont="1" applyBorder="1" applyAlignment="1">
      <alignment horizontal="right" vertical="center"/>
    </xf>
    <xf numFmtId="179" fontId="31" fillId="0" borderId="10" xfId="0" applyNumberFormat="1" applyFont="1" applyBorder="1" applyAlignment="1">
      <alignment horizontal="right" vertical="center"/>
    </xf>
    <xf numFmtId="181" fontId="31" fillId="0" borderId="44" xfId="0" applyNumberFormat="1" applyFont="1" applyBorder="1" applyAlignment="1">
      <alignment horizontal="right" vertical="center"/>
    </xf>
    <xf numFmtId="178" fontId="31" fillId="0" borderId="44" xfId="0" applyNumberFormat="1" applyFont="1" applyBorder="1" applyAlignment="1">
      <alignment horizontal="right" vertical="center"/>
    </xf>
    <xf numFmtId="179" fontId="31" fillId="0" borderId="44" xfId="0" applyNumberFormat="1" applyFont="1" applyBorder="1" applyAlignment="1">
      <alignment horizontal="right" vertical="center"/>
    </xf>
    <xf numFmtId="181" fontId="31" fillId="0" borderId="7" xfId="0" applyNumberFormat="1" applyFont="1" applyBorder="1" applyAlignment="1">
      <alignment horizontal="right" vertical="center"/>
    </xf>
    <xf numFmtId="181" fontId="31" fillId="0" borderId="48" xfId="0" applyNumberFormat="1" applyFont="1" applyBorder="1" applyAlignment="1">
      <alignment horizontal="right" vertical="center"/>
    </xf>
    <xf numFmtId="178" fontId="31" fillId="0" borderId="48" xfId="0" applyNumberFormat="1" applyFont="1" applyBorder="1" applyAlignment="1">
      <alignment horizontal="right" vertical="center"/>
    </xf>
    <xf numFmtId="179" fontId="31" fillId="0" borderId="48" xfId="0" applyNumberFormat="1" applyFont="1" applyBorder="1" applyAlignment="1">
      <alignment horizontal="right" vertical="center"/>
    </xf>
    <xf numFmtId="41" fontId="10" fillId="11" borderId="48" xfId="5" applyFont="1" applyFill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181" fontId="12" fillId="0" borderId="19" xfId="0" applyNumberFormat="1" applyFont="1" applyBorder="1" applyAlignment="1">
      <alignment horizontal="center" vertical="center"/>
    </xf>
    <xf numFmtId="181" fontId="35" fillId="9" borderId="44" xfId="0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vertical="center" wrapText="1"/>
    </xf>
    <xf numFmtId="0" fontId="10" fillId="0" borderId="12" xfId="0" applyFont="1" applyBorder="1" applyAlignment="1">
      <alignment horizontal="center" vertical="center"/>
    </xf>
    <xf numFmtId="41" fontId="10" fillId="3" borderId="12" xfId="5" applyFont="1" applyFill="1" applyBorder="1">
      <alignment vertical="center"/>
    </xf>
    <xf numFmtId="41" fontId="10" fillId="3" borderId="24" xfId="5" applyFont="1" applyFill="1" applyBorder="1">
      <alignment vertical="center"/>
    </xf>
    <xf numFmtId="41" fontId="10" fillId="3" borderId="24" xfId="5" applyFont="1" applyFill="1" applyBorder="1" applyAlignment="1">
      <alignment horizontal="center" vertical="center"/>
    </xf>
    <xf numFmtId="181" fontId="10" fillId="0" borderId="12" xfId="0" applyNumberFormat="1" applyFont="1" applyBorder="1">
      <alignment vertical="center"/>
    </xf>
    <xf numFmtId="178" fontId="10" fillId="0" borderId="12" xfId="0" applyNumberFormat="1" applyFont="1" applyBorder="1">
      <alignment vertical="center"/>
    </xf>
    <xf numFmtId="179" fontId="10" fillId="0" borderId="12" xfId="0" applyNumberFormat="1" applyFont="1" applyBorder="1">
      <alignment vertical="center"/>
    </xf>
    <xf numFmtId="0" fontId="10" fillId="3" borderId="7" xfId="0" applyFont="1" applyFill="1" applyBorder="1" applyAlignment="1">
      <alignment vertical="center" wrapText="1"/>
    </xf>
    <xf numFmtId="181" fontId="10" fillId="3" borderId="7" xfId="0" applyNumberFormat="1" applyFont="1" applyFill="1" applyBorder="1">
      <alignment vertical="center"/>
    </xf>
    <xf numFmtId="181" fontId="10" fillId="3" borderId="44" xfId="0" applyNumberFormat="1" applyFont="1" applyFill="1" applyBorder="1">
      <alignment vertical="center"/>
    </xf>
    <xf numFmtId="178" fontId="10" fillId="3" borderId="44" xfId="0" applyNumberFormat="1" applyFont="1" applyFill="1" applyBorder="1">
      <alignment vertical="center"/>
    </xf>
    <xf numFmtId="179" fontId="10" fillId="3" borderId="44" xfId="0" applyNumberFormat="1" applyFont="1" applyFill="1" applyBorder="1">
      <alignment vertical="center"/>
    </xf>
    <xf numFmtId="0" fontId="10" fillId="0" borderId="7" xfId="0" applyFont="1" applyBorder="1" applyAlignment="1">
      <alignment vertical="center" wrapText="1"/>
    </xf>
    <xf numFmtId="181" fontId="10" fillId="0" borderId="7" xfId="0" applyNumberFormat="1" applyFont="1" applyBorder="1">
      <alignment vertical="center"/>
    </xf>
    <xf numFmtId="181" fontId="10" fillId="0" borderId="44" xfId="0" applyNumberFormat="1" applyFont="1" applyBorder="1">
      <alignment vertical="center"/>
    </xf>
    <xf numFmtId="178" fontId="10" fillId="0" borderId="44" xfId="0" applyNumberFormat="1" applyFont="1" applyBorder="1">
      <alignment vertical="center"/>
    </xf>
    <xf numFmtId="179" fontId="10" fillId="0" borderId="44" xfId="0" applyNumberFormat="1" applyFont="1" applyBorder="1">
      <alignment vertical="center"/>
    </xf>
    <xf numFmtId="0" fontId="10" fillId="11" borderId="7" xfId="0" applyFont="1" applyFill="1" applyBorder="1" applyAlignment="1">
      <alignment vertical="center" wrapText="1"/>
    </xf>
    <xf numFmtId="41" fontId="10" fillId="11" borderId="7" xfId="5" applyFont="1" applyFill="1" applyBorder="1">
      <alignment vertical="center"/>
    </xf>
    <xf numFmtId="41" fontId="10" fillId="11" borderId="20" xfId="5" applyFont="1" applyFill="1" applyBorder="1">
      <alignment vertical="center"/>
    </xf>
    <xf numFmtId="41" fontId="10" fillId="11" borderId="50" xfId="5" applyFont="1" applyFill="1" applyBorder="1" applyAlignment="1">
      <alignment horizontal="center" vertical="center"/>
    </xf>
    <xf numFmtId="181" fontId="10" fillId="11" borderId="7" xfId="0" applyNumberFormat="1" applyFont="1" applyFill="1" applyBorder="1">
      <alignment vertical="center"/>
    </xf>
    <xf numFmtId="181" fontId="10" fillId="11" borderId="44" xfId="0" applyNumberFormat="1" applyFont="1" applyFill="1" applyBorder="1">
      <alignment vertical="center"/>
    </xf>
    <xf numFmtId="178" fontId="10" fillId="11" borderId="44" xfId="0" applyNumberFormat="1" applyFont="1" applyFill="1" applyBorder="1">
      <alignment vertical="center"/>
    </xf>
    <xf numFmtId="179" fontId="10" fillId="11" borderId="44" xfId="0" applyNumberFormat="1" applyFont="1" applyFill="1" applyBorder="1">
      <alignment vertical="center"/>
    </xf>
    <xf numFmtId="0" fontId="10" fillId="11" borderId="44" xfId="0" applyFont="1" applyFill="1" applyBorder="1" applyAlignment="1">
      <alignment horizontal="center" vertical="center"/>
    </xf>
    <xf numFmtId="41" fontId="10" fillId="11" borderId="44" xfId="5" applyFont="1" applyFill="1" applyBorder="1">
      <alignment vertical="center"/>
    </xf>
    <xf numFmtId="41" fontId="10" fillId="11" borderId="50" xfId="5" applyFont="1" applyFill="1" applyBorder="1">
      <alignment vertical="center"/>
    </xf>
    <xf numFmtId="41" fontId="10" fillId="3" borderId="7" xfId="0" applyNumberFormat="1" applyFont="1" applyFill="1" applyBorder="1">
      <alignment vertical="center"/>
    </xf>
    <xf numFmtId="41" fontId="10" fillId="3" borderId="20" xfId="0" applyNumberFormat="1" applyFont="1" applyFill="1" applyBorder="1">
      <alignment vertical="center"/>
    </xf>
    <xf numFmtId="0" fontId="10" fillId="0" borderId="48" xfId="0" applyFont="1" applyBorder="1" applyAlignment="1">
      <alignment vertical="center" wrapText="1"/>
    </xf>
    <xf numFmtId="41" fontId="10" fillId="3" borderId="48" xfId="0" applyNumberFormat="1" applyFont="1" applyFill="1" applyBorder="1">
      <alignment vertical="center"/>
    </xf>
    <xf numFmtId="41" fontId="10" fillId="3" borderId="52" xfId="0" applyNumberFormat="1" applyFont="1" applyFill="1" applyBorder="1">
      <alignment vertical="center"/>
    </xf>
    <xf numFmtId="41" fontId="10" fillId="3" borderId="52" xfId="5" applyFont="1" applyFill="1" applyBorder="1">
      <alignment vertical="center"/>
    </xf>
    <xf numFmtId="41" fontId="10" fillId="3" borderId="52" xfId="5" applyFont="1" applyFill="1" applyBorder="1" applyAlignment="1">
      <alignment horizontal="center" vertical="center"/>
    </xf>
    <xf numFmtId="181" fontId="10" fillId="0" borderId="48" xfId="0" applyNumberFormat="1" applyFont="1" applyBorder="1">
      <alignment vertical="center"/>
    </xf>
    <xf numFmtId="178" fontId="10" fillId="0" borderId="48" xfId="0" applyNumberFormat="1" applyFont="1" applyBorder="1">
      <alignment vertical="center"/>
    </xf>
    <xf numFmtId="179" fontId="10" fillId="0" borderId="48" xfId="0" applyNumberFormat="1" applyFont="1" applyBorder="1">
      <alignment vertical="center"/>
    </xf>
    <xf numFmtId="0" fontId="10" fillId="11" borderId="12" xfId="0" applyFont="1" applyFill="1" applyBorder="1">
      <alignment vertical="center"/>
    </xf>
    <xf numFmtId="0" fontId="31" fillId="11" borderId="12" xfId="0" applyFont="1" applyFill="1" applyBorder="1" applyAlignment="1">
      <alignment horizontal="center" vertical="center"/>
    </xf>
    <xf numFmtId="41" fontId="31" fillId="11" borderId="12" xfId="0" applyNumberFormat="1" applyFont="1" applyFill="1" applyBorder="1">
      <alignment vertical="center"/>
    </xf>
    <xf numFmtId="41" fontId="31" fillId="11" borderId="24" xfId="0" applyNumberFormat="1" applyFont="1" applyFill="1" applyBorder="1">
      <alignment vertical="center"/>
    </xf>
    <xf numFmtId="41" fontId="10" fillId="11" borderId="24" xfId="5" applyFont="1" applyFill="1" applyBorder="1">
      <alignment vertical="center"/>
    </xf>
    <xf numFmtId="41" fontId="10" fillId="11" borderId="24" xfId="5" applyFont="1" applyFill="1" applyBorder="1" applyAlignment="1">
      <alignment horizontal="center" vertical="center"/>
    </xf>
    <xf numFmtId="181" fontId="31" fillId="11" borderId="12" xfId="0" applyNumberFormat="1" applyFont="1" applyFill="1" applyBorder="1">
      <alignment vertical="center"/>
    </xf>
    <xf numFmtId="178" fontId="31" fillId="11" borderId="12" xfId="0" applyNumberFormat="1" applyFont="1" applyFill="1" applyBorder="1">
      <alignment vertical="center"/>
    </xf>
    <xf numFmtId="179" fontId="31" fillId="11" borderId="12" xfId="0" applyNumberFormat="1" applyFont="1" applyFill="1" applyBorder="1">
      <alignment vertical="center"/>
    </xf>
    <xf numFmtId="0" fontId="31" fillId="11" borderId="7" xfId="0" applyFont="1" applyFill="1" applyBorder="1" applyAlignment="1">
      <alignment horizontal="center" vertical="center"/>
    </xf>
    <xf numFmtId="41" fontId="31" fillId="11" borderId="7" xfId="0" applyNumberFormat="1" applyFont="1" applyFill="1" applyBorder="1">
      <alignment vertical="center"/>
    </xf>
    <xf numFmtId="41" fontId="31" fillId="11" borderId="20" xfId="0" applyNumberFormat="1" applyFont="1" applyFill="1" applyBorder="1">
      <alignment vertical="center"/>
    </xf>
    <xf numFmtId="181" fontId="31" fillId="11" borderId="7" xfId="0" applyNumberFormat="1" applyFont="1" applyFill="1" applyBorder="1">
      <alignment vertical="center"/>
    </xf>
    <xf numFmtId="181" fontId="31" fillId="11" borderId="44" xfId="0" applyNumberFormat="1" applyFont="1" applyFill="1" applyBorder="1">
      <alignment vertical="center"/>
    </xf>
    <xf numFmtId="178" fontId="31" fillId="11" borderId="44" xfId="0" applyNumberFormat="1" applyFont="1" applyFill="1" applyBorder="1">
      <alignment vertical="center"/>
    </xf>
    <xf numFmtId="179" fontId="31" fillId="11" borderId="44" xfId="0" applyNumberFormat="1" applyFont="1" applyFill="1" applyBorder="1">
      <alignment vertical="center"/>
    </xf>
    <xf numFmtId="0" fontId="10" fillId="11" borderId="48" xfId="0" applyFont="1" applyFill="1" applyBorder="1">
      <alignment vertical="center"/>
    </xf>
    <xf numFmtId="0" fontId="10" fillId="11" borderId="48" xfId="0" applyFont="1" applyFill="1" applyBorder="1" applyAlignment="1">
      <alignment horizontal="center" vertical="center"/>
    </xf>
    <xf numFmtId="41" fontId="10" fillId="11" borderId="48" xfId="5" applyFont="1" applyFill="1" applyBorder="1">
      <alignment vertical="center"/>
    </xf>
    <xf numFmtId="41" fontId="10" fillId="0" borderId="10" xfId="5" applyFont="1" applyFill="1" applyBorder="1">
      <alignment vertical="center"/>
    </xf>
    <xf numFmtId="41" fontId="10" fillId="3" borderId="44" xfId="5" applyFont="1" applyFill="1" applyBorder="1" applyAlignment="1">
      <alignment horizontal="center" vertical="center"/>
    </xf>
    <xf numFmtId="0" fontId="10" fillId="11" borderId="44" xfId="0" applyFont="1" applyFill="1" applyBorder="1">
      <alignment vertical="center"/>
    </xf>
    <xf numFmtId="41" fontId="10" fillId="11" borderId="44" xfId="5" applyFont="1" applyFill="1" applyBorder="1" applyAlignment="1">
      <alignment horizontal="center" vertical="center"/>
    </xf>
    <xf numFmtId="178" fontId="31" fillId="11" borderId="44" xfId="0" applyNumberFormat="1" applyFont="1" applyFill="1" applyBorder="1" applyAlignment="1">
      <alignment horizontal="right" vertical="center"/>
    </xf>
    <xf numFmtId="179" fontId="31" fillId="11" borderId="44" xfId="0" applyNumberFormat="1" applyFont="1" applyFill="1" applyBorder="1" applyAlignment="1">
      <alignment horizontal="right" vertical="center"/>
    </xf>
    <xf numFmtId="41" fontId="10" fillId="0" borderId="44" xfId="0" applyNumberFormat="1" applyFont="1" applyBorder="1">
      <alignment vertical="center"/>
    </xf>
    <xf numFmtId="41" fontId="10" fillId="0" borderId="48" xfId="0" applyNumberFormat="1" applyFont="1" applyBorder="1">
      <alignment vertical="center"/>
    </xf>
    <xf numFmtId="41" fontId="10" fillId="3" borderId="48" xfId="5" applyFont="1" applyFill="1" applyBorder="1">
      <alignment vertical="center"/>
    </xf>
    <xf numFmtId="41" fontId="10" fillId="3" borderId="48" xfId="5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vertical="center" wrapText="1"/>
    </xf>
    <xf numFmtId="41" fontId="10" fillId="11" borderId="10" xfId="0" applyNumberFormat="1" applyFont="1" applyFill="1" applyBorder="1">
      <alignment vertical="center"/>
    </xf>
    <xf numFmtId="41" fontId="10" fillId="11" borderId="10" xfId="5" applyFont="1" applyFill="1" applyBorder="1">
      <alignment vertical="center"/>
    </xf>
    <xf numFmtId="178" fontId="31" fillId="11" borderId="10" xfId="0" applyNumberFormat="1" applyFont="1" applyFill="1" applyBorder="1" applyAlignment="1">
      <alignment horizontal="right" vertical="center"/>
    </xf>
    <xf numFmtId="179" fontId="31" fillId="11" borderId="10" xfId="0" applyNumberFormat="1" applyFont="1" applyFill="1" applyBorder="1" applyAlignment="1">
      <alignment horizontal="right" vertical="center"/>
    </xf>
    <xf numFmtId="41" fontId="10" fillId="11" borderId="44" xfId="0" applyNumberFormat="1" applyFont="1" applyFill="1" applyBorder="1">
      <alignment vertical="center"/>
    </xf>
    <xf numFmtId="0" fontId="10" fillId="11" borderId="7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vertical="center" wrapText="1"/>
    </xf>
    <xf numFmtId="0" fontId="10" fillId="0" borderId="44" xfId="0" applyFont="1" applyBorder="1" applyAlignment="1">
      <alignment vertical="center" wrapText="1"/>
    </xf>
    <xf numFmtId="41" fontId="10" fillId="0" borderId="44" xfId="5" applyFont="1" applyFill="1" applyBorder="1">
      <alignment vertical="center"/>
    </xf>
    <xf numFmtId="41" fontId="10" fillId="0" borderId="7" xfId="5" applyFont="1" applyFill="1" applyBorder="1">
      <alignment vertical="center"/>
    </xf>
    <xf numFmtId="41" fontId="10" fillId="0" borderId="20" xfId="5" applyFont="1" applyFill="1" applyBorder="1">
      <alignment vertical="center"/>
    </xf>
    <xf numFmtId="41" fontId="10" fillId="0" borderId="48" xfId="5" applyFont="1" applyFill="1" applyBorder="1">
      <alignment vertical="center"/>
    </xf>
    <xf numFmtId="41" fontId="10" fillId="0" borderId="52" xfId="5" applyFont="1" applyFill="1" applyBorder="1">
      <alignment vertical="center"/>
    </xf>
    <xf numFmtId="41" fontId="10" fillId="3" borderId="12" xfId="5" applyFont="1" applyFill="1" applyBorder="1" applyAlignment="1">
      <alignment horizontal="center" vertical="center"/>
    </xf>
    <xf numFmtId="181" fontId="31" fillId="0" borderId="12" xfId="0" applyNumberFormat="1" applyFont="1" applyBorder="1" applyAlignment="1">
      <alignment horizontal="right" vertical="center"/>
    </xf>
    <xf numFmtId="181" fontId="31" fillId="0" borderId="24" xfId="0" applyNumberFormat="1" applyFont="1" applyBorder="1" applyAlignment="1">
      <alignment horizontal="right" vertical="center"/>
    </xf>
    <xf numFmtId="178" fontId="31" fillId="0" borderId="24" xfId="0" applyNumberFormat="1" applyFont="1" applyBorder="1" applyAlignment="1">
      <alignment horizontal="right" vertical="center"/>
    </xf>
    <xf numFmtId="179" fontId="31" fillId="0" borderId="24" xfId="0" applyNumberFormat="1" applyFont="1" applyBorder="1" applyAlignment="1">
      <alignment horizontal="right" vertical="center"/>
    </xf>
    <xf numFmtId="181" fontId="31" fillId="0" borderId="50" xfId="0" applyNumberFormat="1" applyFont="1" applyBorder="1" applyAlignment="1">
      <alignment horizontal="right" vertical="center"/>
    </xf>
    <xf numFmtId="178" fontId="31" fillId="0" borderId="50" xfId="0" applyNumberFormat="1" applyFont="1" applyBorder="1" applyAlignment="1">
      <alignment horizontal="right" vertical="center"/>
    </xf>
    <xf numFmtId="179" fontId="31" fillId="0" borderId="50" xfId="0" applyNumberFormat="1" applyFont="1" applyBorder="1" applyAlignment="1">
      <alignment horizontal="right" vertical="center"/>
    </xf>
    <xf numFmtId="41" fontId="10" fillId="11" borderId="36" xfId="5" applyFont="1" applyFill="1" applyBorder="1">
      <alignment vertical="center"/>
    </xf>
    <xf numFmtId="41" fontId="10" fillId="11" borderId="36" xfId="5" applyFont="1" applyFill="1" applyBorder="1" applyAlignment="1">
      <alignment horizontal="center" vertical="center"/>
    </xf>
    <xf numFmtId="181" fontId="31" fillId="11" borderId="36" xfId="0" applyNumberFormat="1" applyFont="1" applyFill="1" applyBorder="1" applyAlignment="1">
      <alignment horizontal="right" vertical="center"/>
    </xf>
    <xf numFmtId="181" fontId="31" fillId="11" borderId="39" xfId="0" applyNumberFormat="1" applyFont="1" applyFill="1" applyBorder="1" applyAlignment="1">
      <alignment horizontal="right" vertical="center"/>
    </xf>
    <xf numFmtId="178" fontId="31" fillId="11" borderId="39" xfId="0" applyNumberFormat="1" applyFont="1" applyFill="1" applyBorder="1" applyAlignment="1">
      <alignment horizontal="right" vertical="center"/>
    </xf>
    <xf numFmtId="179" fontId="31" fillId="11" borderId="39" xfId="0" applyNumberFormat="1" applyFont="1" applyFill="1" applyBorder="1" applyAlignment="1">
      <alignment horizontal="right" vertical="center"/>
    </xf>
    <xf numFmtId="41" fontId="10" fillId="0" borderId="12" xfId="5" applyFont="1" applyFill="1" applyBorder="1">
      <alignment vertical="center"/>
    </xf>
    <xf numFmtId="41" fontId="10" fillId="0" borderId="12" xfId="5" applyFont="1" applyFill="1" applyBorder="1" applyAlignment="1">
      <alignment horizontal="center" vertical="center"/>
    </xf>
    <xf numFmtId="178" fontId="31" fillId="0" borderId="12" xfId="0" applyNumberFormat="1" applyFont="1" applyBorder="1" applyAlignment="1">
      <alignment horizontal="right" vertical="center"/>
    </xf>
    <xf numFmtId="179" fontId="31" fillId="0" borderId="12" xfId="0" applyNumberFormat="1" applyFont="1" applyBorder="1" applyAlignment="1">
      <alignment horizontal="right" vertical="center"/>
    </xf>
    <xf numFmtId="41" fontId="10" fillId="11" borderId="52" xfId="5" applyFont="1" applyFill="1" applyBorder="1">
      <alignment vertical="center"/>
    </xf>
    <xf numFmtId="181" fontId="31" fillId="11" borderId="48" xfId="0" applyNumberFormat="1" applyFont="1" applyFill="1" applyBorder="1" applyAlignment="1">
      <alignment horizontal="right" vertical="center"/>
    </xf>
    <xf numFmtId="178" fontId="31" fillId="11" borderId="48" xfId="0" applyNumberFormat="1" applyFont="1" applyFill="1" applyBorder="1" applyAlignment="1">
      <alignment horizontal="right" vertical="center"/>
    </xf>
    <xf numFmtId="179" fontId="31" fillId="11" borderId="48" xfId="0" applyNumberFormat="1" applyFont="1" applyFill="1" applyBorder="1" applyAlignment="1">
      <alignment horizontal="right" vertical="center"/>
    </xf>
    <xf numFmtId="0" fontId="10" fillId="0" borderId="10" xfId="0" applyFont="1" applyBorder="1" applyAlignment="1">
      <alignment horizontal="center" vertical="center" wrapText="1"/>
    </xf>
    <xf numFmtId="41" fontId="31" fillId="0" borderId="10" xfId="0" applyNumberFormat="1" applyFont="1" applyBorder="1">
      <alignment vertical="center"/>
    </xf>
    <xf numFmtId="41" fontId="10" fillId="3" borderId="10" xfId="5" applyFont="1" applyFill="1" applyBorder="1">
      <alignment vertical="center"/>
    </xf>
    <xf numFmtId="41" fontId="10" fillId="3" borderId="10" xfId="5" applyFont="1" applyFill="1" applyBorder="1" applyAlignment="1">
      <alignment horizontal="center" vertical="center"/>
    </xf>
    <xf numFmtId="0" fontId="10" fillId="0" borderId="44" xfId="0" applyFont="1" applyBorder="1" applyAlignment="1">
      <alignment horizontal="center" vertical="center" wrapText="1"/>
    </xf>
    <xf numFmtId="41" fontId="31" fillId="0" borderId="44" xfId="0" applyNumberFormat="1" applyFont="1" applyBorder="1">
      <alignment vertical="center"/>
    </xf>
    <xf numFmtId="41" fontId="22" fillId="0" borderId="2" xfId="5" applyFont="1" applyBorder="1" applyAlignment="1">
      <alignment horizontal="center" vertical="center"/>
    </xf>
    <xf numFmtId="41" fontId="22" fillId="0" borderId="3" xfId="5" applyFont="1" applyBorder="1" applyAlignment="1">
      <alignment horizontal="center" vertical="center"/>
    </xf>
    <xf numFmtId="0" fontId="21" fillId="8" borderId="47" xfId="0" applyFont="1" applyFill="1" applyBorder="1">
      <alignment vertical="center"/>
    </xf>
    <xf numFmtId="0" fontId="8" fillId="8" borderId="48" xfId="0" applyFont="1" applyFill="1" applyBorder="1" applyAlignment="1">
      <alignment horizontal="center" vertical="center"/>
    </xf>
    <xf numFmtId="181" fontId="8" fillId="8" borderId="48" xfId="0" applyNumberFormat="1" applyFont="1" applyFill="1" applyBorder="1" applyAlignment="1">
      <alignment horizontal="center" vertical="center"/>
    </xf>
    <xf numFmtId="0" fontId="26" fillId="8" borderId="48" xfId="0" applyFont="1" applyFill="1" applyBorder="1" applyAlignment="1">
      <alignment horizontal="center" vertical="center"/>
    </xf>
    <xf numFmtId="0" fontId="26" fillId="8" borderId="52" xfId="0" applyFont="1" applyFill="1" applyBorder="1" applyAlignment="1">
      <alignment horizontal="center" vertical="center"/>
    </xf>
    <xf numFmtId="41" fontId="29" fillId="8" borderId="49" xfId="0" applyNumberFormat="1" applyFont="1" applyFill="1" applyBorder="1" applyAlignment="1">
      <alignment horizontal="center" vertical="center"/>
    </xf>
    <xf numFmtId="0" fontId="42" fillId="0" borderId="0" xfId="0" applyFont="1" applyAlignment="1">
      <alignment vertical="center" wrapText="1"/>
    </xf>
    <xf numFmtId="0" fontId="25" fillId="0" borderId="0" xfId="0" applyFont="1">
      <alignment vertical="center"/>
    </xf>
    <xf numFmtId="0" fontId="55" fillId="3" borderId="65" xfId="0" applyFont="1" applyFill="1" applyBorder="1" applyAlignment="1">
      <alignment horizontal="left" vertical="center"/>
    </xf>
    <xf numFmtId="177" fontId="10" fillId="3" borderId="65" xfId="0" applyNumberFormat="1" applyFont="1" applyFill="1" applyBorder="1" applyAlignment="1">
      <alignment horizontal="left" vertical="center"/>
    </xf>
    <xf numFmtId="176" fontId="31" fillId="3" borderId="65" xfId="0" applyNumberFormat="1" applyFont="1" applyFill="1" applyBorder="1" applyAlignment="1">
      <alignment horizontal="left" vertical="center"/>
    </xf>
    <xf numFmtId="0" fontId="31" fillId="3" borderId="65" xfId="0" applyFont="1" applyFill="1" applyBorder="1" applyAlignment="1">
      <alignment horizontal="left" vertical="center"/>
    </xf>
    <xf numFmtId="41" fontId="10" fillId="3" borderId="65" xfId="5" applyFont="1" applyFill="1" applyBorder="1" applyAlignment="1">
      <alignment horizontal="left" vertical="center"/>
    </xf>
    <xf numFmtId="0" fontId="15" fillId="0" borderId="0" xfId="0" applyFont="1">
      <alignment vertical="center"/>
    </xf>
    <xf numFmtId="177" fontId="56" fillId="3" borderId="65" xfId="0" applyNumberFormat="1" applyFont="1" applyFill="1" applyBorder="1" applyAlignment="1">
      <alignment horizontal="left" vertical="center"/>
    </xf>
    <xf numFmtId="41" fontId="58" fillId="3" borderId="65" xfId="5" applyFont="1" applyFill="1" applyBorder="1" applyAlignment="1">
      <alignment horizontal="left" vertical="center"/>
    </xf>
    <xf numFmtId="0" fontId="10" fillId="0" borderId="65" xfId="0" applyFont="1" applyBorder="1">
      <alignment vertical="center"/>
    </xf>
    <xf numFmtId="0" fontId="0" fillId="0" borderId="65" xfId="0" applyBorder="1">
      <alignment vertical="center"/>
    </xf>
    <xf numFmtId="0" fontId="10" fillId="11" borderId="36" xfId="0" applyFont="1" applyFill="1" applyBorder="1">
      <alignment vertical="center"/>
    </xf>
    <xf numFmtId="0" fontId="10" fillId="0" borderId="10" xfId="0" applyFont="1" applyBorder="1" applyAlignment="1">
      <alignment horizontal="left" vertical="center" wrapText="1"/>
    </xf>
    <xf numFmtId="0" fontId="10" fillId="0" borderId="44" xfId="0" applyFont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65" xfId="0" applyFont="1" applyBorder="1" applyAlignment="1">
      <alignment horizontal="left" vertical="center" wrapText="1"/>
    </xf>
    <xf numFmtId="0" fontId="10" fillId="0" borderId="65" xfId="0" applyFont="1" applyBorder="1" applyAlignment="1">
      <alignment horizontal="center" vertical="center" wrapText="1"/>
    </xf>
    <xf numFmtId="41" fontId="31" fillId="0" borderId="65" xfId="0" applyNumberFormat="1" applyFont="1" applyBorder="1">
      <alignment vertical="center"/>
    </xf>
    <xf numFmtId="41" fontId="10" fillId="3" borderId="65" xfId="5" applyFont="1" applyFill="1" applyBorder="1">
      <alignment vertical="center"/>
    </xf>
    <xf numFmtId="41" fontId="10" fillId="3" borderId="65" xfId="5" applyFont="1" applyFill="1" applyBorder="1" applyAlignment="1">
      <alignment horizontal="center" vertical="center"/>
    </xf>
    <xf numFmtId="181" fontId="31" fillId="0" borderId="65" xfId="0" applyNumberFormat="1" applyFont="1" applyBorder="1" applyAlignment="1">
      <alignment horizontal="right" vertical="center"/>
    </xf>
    <xf numFmtId="178" fontId="31" fillId="0" borderId="65" xfId="0" applyNumberFormat="1" applyFont="1" applyBorder="1" applyAlignment="1">
      <alignment horizontal="right" vertical="center"/>
    </xf>
    <xf numFmtId="179" fontId="31" fillId="0" borderId="65" xfId="0" applyNumberFormat="1" applyFont="1" applyBorder="1" applyAlignment="1">
      <alignment horizontal="right" vertical="center"/>
    </xf>
    <xf numFmtId="0" fontId="10" fillId="0" borderId="67" xfId="0" applyFont="1" applyBorder="1" applyAlignment="1">
      <alignment horizontal="left" vertical="center" wrapText="1"/>
    </xf>
    <xf numFmtId="0" fontId="10" fillId="0" borderId="67" xfId="0" applyFont="1" applyBorder="1" applyAlignment="1">
      <alignment horizontal="center" vertical="center" wrapText="1"/>
    </xf>
    <xf numFmtId="41" fontId="31" fillId="0" borderId="67" xfId="0" applyNumberFormat="1" applyFont="1" applyBorder="1">
      <alignment vertical="center"/>
    </xf>
    <xf numFmtId="41" fontId="10" fillId="3" borderId="67" xfId="5" applyFont="1" applyFill="1" applyBorder="1">
      <alignment vertical="center"/>
    </xf>
    <xf numFmtId="41" fontId="10" fillId="3" borderId="67" xfId="5" applyFont="1" applyFill="1" applyBorder="1" applyAlignment="1">
      <alignment horizontal="center" vertical="center"/>
    </xf>
    <xf numFmtId="181" fontId="31" fillId="0" borderId="67" xfId="0" applyNumberFormat="1" applyFont="1" applyBorder="1" applyAlignment="1">
      <alignment horizontal="right" vertical="center"/>
    </xf>
    <xf numFmtId="178" fontId="31" fillId="0" borderId="67" xfId="0" applyNumberFormat="1" applyFont="1" applyBorder="1" applyAlignment="1">
      <alignment horizontal="right" vertical="center"/>
    </xf>
    <xf numFmtId="179" fontId="31" fillId="0" borderId="67" xfId="0" applyNumberFormat="1" applyFont="1" applyBorder="1" applyAlignment="1">
      <alignment horizontal="right" vertical="center"/>
    </xf>
    <xf numFmtId="0" fontId="10" fillId="11" borderId="10" xfId="0" applyFont="1" applyFill="1" applyBorder="1" applyAlignment="1">
      <alignment horizontal="left" vertical="center" wrapText="1"/>
    </xf>
    <xf numFmtId="0" fontId="10" fillId="11" borderId="10" xfId="0" applyFont="1" applyFill="1" applyBorder="1" applyAlignment="1">
      <alignment horizontal="center" vertical="center" wrapText="1"/>
    </xf>
    <xf numFmtId="41" fontId="31" fillId="11" borderId="10" xfId="0" applyNumberFormat="1" applyFont="1" applyFill="1" applyBorder="1">
      <alignment vertical="center"/>
    </xf>
    <xf numFmtId="0" fontId="10" fillId="11" borderId="70" xfId="0" applyFont="1" applyFill="1" applyBorder="1" applyAlignment="1">
      <alignment horizontal="left" vertical="center" wrapText="1"/>
    </xf>
    <xf numFmtId="0" fontId="10" fillId="11" borderId="70" xfId="0" applyFont="1" applyFill="1" applyBorder="1" applyAlignment="1">
      <alignment horizontal="center" vertical="center" wrapText="1"/>
    </xf>
    <xf numFmtId="41" fontId="31" fillId="11" borderId="70" xfId="0" applyNumberFormat="1" applyFont="1" applyFill="1" applyBorder="1">
      <alignment vertical="center"/>
    </xf>
    <xf numFmtId="41" fontId="10" fillId="11" borderId="70" xfId="5" applyFont="1" applyFill="1" applyBorder="1">
      <alignment vertical="center"/>
    </xf>
    <xf numFmtId="41" fontId="10" fillId="11" borderId="70" xfId="5" applyFont="1" applyFill="1" applyBorder="1" applyAlignment="1">
      <alignment horizontal="center" vertical="center"/>
    </xf>
    <xf numFmtId="181" fontId="31" fillId="11" borderId="70" xfId="0" applyNumberFormat="1" applyFont="1" applyFill="1" applyBorder="1" applyAlignment="1">
      <alignment horizontal="right" vertical="center"/>
    </xf>
    <xf numFmtId="178" fontId="31" fillId="11" borderId="70" xfId="0" applyNumberFormat="1" applyFont="1" applyFill="1" applyBorder="1" applyAlignment="1">
      <alignment horizontal="right" vertical="center"/>
    </xf>
    <xf numFmtId="179" fontId="31" fillId="11" borderId="70" xfId="0" applyNumberFormat="1" applyFont="1" applyFill="1" applyBorder="1" applyAlignment="1">
      <alignment horizontal="right" vertical="center"/>
    </xf>
    <xf numFmtId="0" fontId="10" fillId="11" borderId="48" xfId="0" applyFont="1" applyFill="1" applyBorder="1" applyAlignment="1">
      <alignment horizontal="left" vertical="center" wrapText="1"/>
    </xf>
    <xf numFmtId="0" fontId="10" fillId="11" borderId="48" xfId="0" applyFont="1" applyFill="1" applyBorder="1" applyAlignment="1">
      <alignment horizontal="center" vertical="center" wrapText="1"/>
    </xf>
    <xf numFmtId="41" fontId="31" fillId="11" borderId="48" xfId="0" applyNumberFormat="1" applyFont="1" applyFill="1" applyBorder="1">
      <alignment vertical="center"/>
    </xf>
    <xf numFmtId="0" fontId="10" fillId="0" borderId="53" xfId="0" applyFont="1" applyBorder="1" applyAlignment="1">
      <alignment horizontal="left" vertical="center" wrapText="1"/>
    </xf>
    <xf numFmtId="0" fontId="10" fillId="0" borderId="53" xfId="0" applyFont="1" applyBorder="1" applyAlignment="1">
      <alignment horizontal="center" vertical="center" wrapText="1"/>
    </xf>
    <xf numFmtId="41" fontId="31" fillId="0" borderId="53" xfId="0" applyNumberFormat="1" applyFont="1" applyBorder="1">
      <alignment vertical="center"/>
    </xf>
    <xf numFmtId="41" fontId="10" fillId="3" borderId="53" xfId="5" applyFont="1" applyFill="1" applyBorder="1">
      <alignment vertical="center"/>
    </xf>
    <xf numFmtId="41" fontId="10" fillId="3" borderId="53" xfId="5" applyFont="1" applyFill="1" applyBorder="1" applyAlignment="1">
      <alignment horizontal="center" vertical="center"/>
    </xf>
    <xf numFmtId="181" fontId="31" fillId="0" borderId="53" xfId="0" applyNumberFormat="1" applyFont="1" applyBorder="1" applyAlignment="1">
      <alignment horizontal="right" vertical="center"/>
    </xf>
    <xf numFmtId="178" fontId="31" fillId="0" borderId="53" xfId="0" applyNumberFormat="1" applyFont="1" applyBorder="1" applyAlignment="1">
      <alignment horizontal="right" vertical="center"/>
    </xf>
    <xf numFmtId="179" fontId="31" fillId="0" borderId="53" xfId="0" applyNumberFormat="1" applyFont="1" applyBorder="1" applyAlignment="1">
      <alignment horizontal="right" vertical="center"/>
    </xf>
    <xf numFmtId="0" fontId="16" fillId="6" borderId="9" xfId="0" applyFont="1" applyFill="1" applyBorder="1">
      <alignment vertical="center"/>
    </xf>
    <xf numFmtId="0" fontId="16" fillId="6" borderId="71" xfId="0" applyFont="1" applyFill="1" applyBorder="1">
      <alignment vertical="center"/>
    </xf>
    <xf numFmtId="0" fontId="16" fillId="6" borderId="47" xfId="0" applyFont="1" applyFill="1" applyBorder="1">
      <alignment vertical="center"/>
    </xf>
    <xf numFmtId="9" fontId="60" fillId="6" borderId="11" xfId="0" applyNumberFormat="1" applyFont="1" applyFill="1" applyBorder="1">
      <alignment vertical="center"/>
    </xf>
    <xf numFmtId="9" fontId="60" fillId="6" borderId="74" xfId="0" applyNumberFormat="1" applyFont="1" applyFill="1" applyBorder="1">
      <alignment vertical="center"/>
    </xf>
    <xf numFmtId="9" fontId="60" fillId="6" borderId="49" xfId="0" applyNumberFormat="1" applyFont="1" applyFill="1" applyBorder="1">
      <alignment vertical="center"/>
    </xf>
    <xf numFmtId="58" fontId="68" fillId="0" borderId="0" xfId="0" applyNumberFormat="1" applyFont="1" applyAlignment="1">
      <alignment horizontal="center" vertical="center"/>
    </xf>
    <xf numFmtId="0" fontId="70" fillId="0" borderId="76" xfId="0" applyFont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 wrapText="1"/>
    </xf>
    <xf numFmtId="0" fontId="70" fillId="0" borderId="6" xfId="0" applyFont="1" applyBorder="1" applyAlignment="1">
      <alignment horizontal="center" vertical="center" wrapText="1"/>
    </xf>
    <xf numFmtId="0" fontId="70" fillId="0" borderId="83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88" xfId="0" applyFont="1" applyBorder="1" applyAlignment="1">
      <alignment horizontal="center" vertical="center" wrapText="1"/>
    </xf>
    <xf numFmtId="0" fontId="70" fillId="0" borderId="10" xfId="0" applyFont="1" applyBorder="1" applyAlignment="1">
      <alignment horizontal="center" vertical="center" wrapText="1"/>
    </xf>
    <xf numFmtId="0" fontId="70" fillId="0" borderId="11" xfId="0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3" fontId="73" fillId="0" borderId="70" xfId="0" applyNumberFormat="1" applyFont="1" applyBorder="1" applyAlignment="1">
      <alignment horizontal="center" vertical="center"/>
    </xf>
    <xf numFmtId="0" fontId="73" fillId="0" borderId="70" xfId="0" applyFont="1" applyBorder="1" applyAlignment="1">
      <alignment horizontal="center" vertical="center"/>
    </xf>
    <xf numFmtId="0" fontId="74" fillId="11" borderId="70" xfId="0" applyFont="1" applyFill="1" applyBorder="1" applyAlignment="1">
      <alignment horizontal="center" vertical="center" wrapText="1"/>
    </xf>
    <xf numFmtId="184" fontId="73" fillId="0" borderId="74" xfId="0" quotePrefix="1" applyNumberFormat="1" applyFont="1" applyBorder="1" applyAlignment="1">
      <alignment horizontal="center" vertical="center"/>
    </xf>
    <xf numFmtId="0" fontId="73" fillId="0" borderId="74" xfId="0" applyFont="1" applyBorder="1" applyAlignment="1">
      <alignment horizontal="center" vertical="center"/>
    </xf>
    <xf numFmtId="0" fontId="73" fillId="0" borderId="12" xfId="0" applyFont="1" applyBorder="1" applyAlignment="1">
      <alignment horizontal="center" vertical="center"/>
    </xf>
    <xf numFmtId="0" fontId="74" fillId="11" borderId="12" xfId="0" applyFont="1" applyFill="1" applyBorder="1" applyAlignment="1">
      <alignment horizontal="center" vertical="center" wrapText="1"/>
    </xf>
    <xf numFmtId="0" fontId="73" fillId="0" borderId="74" xfId="0" applyFont="1" applyBorder="1" applyAlignment="1">
      <alignment horizontal="center" vertical="center" wrapText="1"/>
    </xf>
    <xf numFmtId="0" fontId="74" fillId="0" borderId="96" xfId="0" applyFont="1" applyBorder="1" applyAlignment="1">
      <alignment horizontal="center" vertical="center" wrapText="1"/>
    </xf>
    <xf numFmtId="0" fontId="74" fillId="0" borderId="97" xfId="0" applyFont="1" applyBorder="1" applyAlignment="1">
      <alignment horizontal="center" vertical="center" wrapText="1"/>
    </xf>
    <xf numFmtId="0" fontId="74" fillId="0" borderId="95" xfId="0" applyFont="1" applyBorder="1" applyAlignment="1">
      <alignment horizontal="center" vertical="center" wrapText="1"/>
    </xf>
    <xf numFmtId="0" fontId="73" fillId="0" borderId="53" xfId="0" applyFont="1" applyBorder="1" applyAlignment="1">
      <alignment horizontal="center" vertical="center"/>
    </xf>
    <xf numFmtId="0" fontId="74" fillId="11" borderId="53" xfId="0" applyFont="1" applyFill="1" applyBorder="1" applyAlignment="1">
      <alignment horizontal="center" vertical="center" wrapText="1"/>
    </xf>
    <xf numFmtId="0" fontId="73" fillId="0" borderId="61" xfId="0" applyFont="1" applyBorder="1" applyAlignment="1">
      <alignment horizontal="left" vertical="center"/>
    </xf>
    <xf numFmtId="0" fontId="66" fillId="0" borderId="36" xfId="0" applyFont="1" applyBorder="1" applyAlignment="1">
      <alignment horizontal="center" vertical="center" wrapText="1"/>
    </xf>
    <xf numFmtId="0" fontId="66" fillId="0" borderId="98" xfId="0" applyFont="1" applyBorder="1" applyAlignment="1">
      <alignment horizontal="center" vertical="center" wrapText="1"/>
    </xf>
    <xf numFmtId="0" fontId="66" fillId="0" borderId="8" xfId="0" applyFont="1" applyBorder="1" applyAlignment="1">
      <alignment horizontal="center" vertical="center" wrapText="1"/>
    </xf>
    <xf numFmtId="181" fontId="35" fillId="9" borderId="99" xfId="0" applyNumberFormat="1" applyFont="1" applyFill="1" applyBorder="1" applyAlignment="1">
      <alignment horizontal="center" vertical="center"/>
    </xf>
    <xf numFmtId="185" fontId="10" fillId="11" borderId="99" xfId="0" applyNumberFormat="1" applyFont="1" applyFill="1" applyBorder="1">
      <alignment vertical="center"/>
    </xf>
    <xf numFmtId="185" fontId="0" fillId="0" borderId="0" xfId="0" applyNumberFormat="1">
      <alignment vertical="center"/>
    </xf>
    <xf numFmtId="185" fontId="10" fillId="0" borderId="12" xfId="0" applyNumberFormat="1" applyFont="1" applyBorder="1">
      <alignment vertical="center"/>
    </xf>
    <xf numFmtId="185" fontId="10" fillId="3" borderId="99" xfId="0" applyNumberFormat="1" applyFont="1" applyFill="1" applyBorder="1">
      <alignment vertical="center"/>
    </xf>
    <xf numFmtId="185" fontId="10" fillId="0" borderId="99" xfId="0" applyNumberFormat="1" applyFont="1" applyBorder="1">
      <alignment vertical="center"/>
    </xf>
    <xf numFmtId="185" fontId="10" fillId="0" borderId="67" xfId="0" applyNumberFormat="1" applyFont="1" applyBorder="1">
      <alignment vertical="center"/>
    </xf>
    <xf numFmtId="185" fontId="31" fillId="11" borderId="12" xfId="0" applyNumberFormat="1" applyFont="1" applyFill="1" applyBorder="1">
      <alignment vertical="center"/>
    </xf>
    <xf numFmtId="185" fontId="31" fillId="11" borderId="99" xfId="0" applyNumberFormat="1" applyFont="1" applyFill="1" applyBorder="1">
      <alignment vertical="center"/>
    </xf>
    <xf numFmtId="185" fontId="31" fillId="3" borderId="99" xfId="0" applyNumberFormat="1" applyFont="1" applyFill="1" applyBorder="1">
      <alignment vertical="center"/>
    </xf>
    <xf numFmtId="185" fontId="31" fillId="0" borderId="10" xfId="0" applyNumberFormat="1" applyFont="1" applyBorder="1" applyAlignment="1">
      <alignment horizontal="right" vertical="center"/>
    </xf>
    <xf numFmtId="185" fontId="31" fillId="0" borderId="99" xfId="0" applyNumberFormat="1" applyFont="1" applyBorder="1" applyAlignment="1">
      <alignment horizontal="right" vertical="center"/>
    </xf>
    <xf numFmtId="185" fontId="31" fillId="11" borderId="99" xfId="0" applyNumberFormat="1" applyFont="1" applyFill="1" applyBorder="1" applyAlignment="1">
      <alignment horizontal="right" vertical="center"/>
    </xf>
    <xf numFmtId="185" fontId="31" fillId="0" borderId="67" xfId="0" applyNumberFormat="1" applyFont="1" applyBorder="1" applyAlignment="1">
      <alignment horizontal="right" vertical="center"/>
    </xf>
    <xf numFmtId="185" fontId="31" fillId="11" borderId="10" xfId="0" applyNumberFormat="1" applyFont="1" applyFill="1" applyBorder="1" applyAlignment="1">
      <alignment horizontal="right" vertical="center"/>
    </xf>
    <xf numFmtId="185" fontId="31" fillId="11" borderId="67" xfId="0" applyNumberFormat="1" applyFont="1" applyFill="1" applyBorder="1" applyAlignment="1">
      <alignment horizontal="right" vertical="center"/>
    </xf>
    <xf numFmtId="185" fontId="31" fillId="0" borderId="12" xfId="0" applyNumberFormat="1" applyFont="1" applyBorder="1" applyAlignment="1">
      <alignment horizontal="right" vertical="center"/>
    </xf>
    <xf numFmtId="185" fontId="31" fillId="0" borderId="24" xfId="0" applyNumberFormat="1" applyFont="1" applyBorder="1" applyAlignment="1">
      <alignment horizontal="right" vertical="center"/>
    </xf>
    <xf numFmtId="185" fontId="31" fillId="0" borderId="100" xfId="0" applyNumberFormat="1" applyFont="1" applyBorder="1" applyAlignment="1">
      <alignment horizontal="right" vertical="center"/>
    </xf>
    <xf numFmtId="185" fontId="31" fillId="11" borderId="39" xfId="0" applyNumberFormat="1" applyFont="1" applyFill="1" applyBorder="1" applyAlignment="1">
      <alignment horizontal="right" vertical="center"/>
    </xf>
    <xf numFmtId="185" fontId="31" fillId="0" borderId="102" xfId="0" applyNumberFormat="1" applyFont="1" applyBorder="1" applyAlignment="1">
      <alignment horizontal="right" vertical="center"/>
    </xf>
    <xf numFmtId="185" fontId="45" fillId="0" borderId="0" xfId="0" applyNumberFormat="1" applyFont="1">
      <alignment vertical="center"/>
    </xf>
    <xf numFmtId="185" fontId="8" fillId="8" borderId="67" xfId="0" applyNumberFormat="1" applyFont="1" applyFill="1" applyBorder="1" applyAlignment="1">
      <alignment horizontal="center" vertical="center"/>
    </xf>
    <xf numFmtId="185" fontId="15" fillId="12" borderId="12" xfId="0" applyNumberFormat="1" applyFont="1" applyFill="1" applyBorder="1" applyAlignment="1">
      <alignment horizontal="center" vertical="center"/>
    </xf>
    <xf numFmtId="185" fontId="35" fillId="13" borderId="100" xfId="0" applyNumberFormat="1" applyFont="1" applyFill="1" applyBorder="1" applyAlignment="1">
      <alignment horizontal="center" vertical="center"/>
    </xf>
    <xf numFmtId="185" fontId="35" fillId="13" borderId="68" xfId="0" applyNumberFormat="1" applyFont="1" applyFill="1" applyBorder="1" applyAlignment="1">
      <alignment horizontal="center" vertical="center"/>
    </xf>
    <xf numFmtId="41" fontId="58" fillId="3" borderId="0" xfId="5" applyFont="1" applyFill="1" applyBorder="1" applyAlignment="1">
      <alignment horizontal="left" vertical="center"/>
    </xf>
    <xf numFmtId="0" fontId="57" fillId="3" borderId="65" xfId="0" applyFont="1" applyFill="1" applyBorder="1" applyAlignment="1">
      <alignment horizontal="center" vertical="center"/>
    </xf>
    <xf numFmtId="176" fontId="56" fillId="3" borderId="65" xfId="0" applyNumberFormat="1" applyFont="1" applyFill="1" applyBorder="1" applyAlignment="1">
      <alignment horizontal="left" vertical="center"/>
    </xf>
    <xf numFmtId="0" fontId="56" fillId="3" borderId="65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center" vertical="center"/>
    </xf>
    <xf numFmtId="182" fontId="31" fillId="0" borderId="1" xfId="0" applyNumberFormat="1" applyFont="1" applyBorder="1" applyAlignment="1">
      <alignment horizontal="center" vertical="center"/>
    </xf>
    <xf numFmtId="41" fontId="31" fillId="0" borderId="1" xfId="0" applyNumberFormat="1" applyFont="1" applyBorder="1" applyAlignment="1">
      <alignment horizontal="center" vertical="center"/>
    </xf>
    <xf numFmtId="41" fontId="31" fillId="0" borderId="1" xfId="0" applyNumberFormat="1" applyFont="1" applyBorder="1">
      <alignment vertical="center"/>
    </xf>
    <xf numFmtId="0" fontId="31" fillId="0" borderId="1" xfId="0" applyFont="1" applyBorder="1">
      <alignment vertical="center"/>
    </xf>
    <xf numFmtId="181" fontId="31" fillId="0" borderId="1" xfId="0" applyNumberFormat="1" applyFont="1" applyBorder="1" applyAlignment="1">
      <alignment horizontal="center" vertical="center"/>
    </xf>
    <xf numFmtId="41" fontId="78" fillId="0" borderId="1" xfId="0" applyNumberFormat="1" applyFont="1" applyBorder="1" applyAlignment="1">
      <alignment horizontal="right" vertical="center"/>
    </xf>
    <xf numFmtId="41" fontId="0" fillId="0" borderId="0" xfId="5" applyFont="1" applyFill="1" applyBorder="1" applyAlignment="1">
      <alignment horizontal="left" vertical="center"/>
    </xf>
    <xf numFmtId="0" fontId="35" fillId="9" borderId="12" xfId="0" applyFont="1" applyFill="1" applyBorder="1" applyAlignment="1">
      <alignment horizontal="left" vertical="center"/>
    </xf>
    <xf numFmtId="0" fontId="79" fillId="4" borderId="1" xfId="0" applyFont="1" applyFill="1" applyBorder="1" applyAlignment="1">
      <alignment horizontal="center" vertical="center"/>
    </xf>
    <xf numFmtId="0" fontId="79" fillId="4" borderId="1" xfId="0" applyFont="1" applyFill="1" applyBorder="1" applyAlignment="1">
      <alignment horizontal="center" vertical="center" wrapText="1"/>
    </xf>
    <xf numFmtId="182" fontId="79" fillId="4" borderId="1" xfId="0" applyNumberFormat="1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0" fillId="0" borderId="1" xfId="0" applyBorder="1">
      <alignment vertical="center"/>
    </xf>
    <xf numFmtId="9" fontId="0" fillId="0" borderId="1" xfId="2" applyFont="1" applyBorder="1">
      <alignment vertical="center"/>
    </xf>
    <xf numFmtId="41" fontId="0" fillId="0" borderId="1" xfId="0" applyNumberFormat="1" applyBorder="1">
      <alignment vertical="center"/>
    </xf>
    <xf numFmtId="0" fontId="41" fillId="0" borderId="1" xfId="0" applyFont="1" applyBorder="1">
      <alignment vertical="center"/>
    </xf>
    <xf numFmtId="0" fontId="0" fillId="7" borderId="0" xfId="0" applyFill="1">
      <alignment vertical="center"/>
    </xf>
    <xf numFmtId="0" fontId="59" fillId="0" borderId="0" xfId="0" applyFont="1" applyAlignment="1">
      <alignment horizontal="left" vertical="center"/>
    </xf>
    <xf numFmtId="182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1" fontId="58" fillId="0" borderId="0" xfId="5" applyFont="1" applyFill="1" applyBorder="1" applyAlignment="1">
      <alignment horizontal="left" vertical="center"/>
    </xf>
    <xf numFmtId="0" fontId="80" fillId="0" borderId="0" xfId="0" applyFont="1">
      <alignment vertical="center"/>
    </xf>
    <xf numFmtId="0" fontId="57" fillId="3" borderId="0" xfId="0" applyFont="1" applyFill="1" applyAlignment="1">
      <alignment horizontal="center" vertical="center"/>
    </xf>
    <xf numFmtId="0" fontId="56" fillId="3" borderId="0" xfId="0" applyFont="1" applyFill="1" applyAlignment="1">
      <alignment horizontal="left" vertical="center"/>
    </xf>
    <xf numFmtId="0" fontId="10" fillId="0" borderId="99" xfId="0" applyFont="1" applyBorder="1" applyAlignment="1">
      <alignment vertical="center" wrapText="1"/>
    </xf>
    <xf numFmtId="41" fontId="31" fillId="0" borderId="99" xfId="0" applyNumberFormat="1" applyFont="1" applyBorder="1">
      <alignment vertical="center"/>
    </xf>
    <xf numFmtId="41" fontId="10" fillId="3" borderId="99" xfId="5" applyFont="1" applyFill="1" applyBorder="1">
      <alignment vertical="center"/>
    </xf>
    <xf numFmtId="41" fontId="10" fillId="3" borderId="99" xfId="5" applyFont="1" applyFill="1" applyBorder="1" applyAlignment="1">
      <alignment horizontal="center" vertical="center"/>
    </xf>
    <xf numFmtId="181" fontId="31" fillId="0" borderId="99" xfId="0" applyNumberFormat="1" applyFont="1" applyBorder="1" applyAlignment="1">
      <alignment horizontal="right" vertical="center"/>
    </xf>
    <xf numFmtId="178" fontId="31" fillId="0" borderId="99" xfId="0" applyNumberFormat="1" applyFont="1" applyBorder="1" applyAlignment="1">
      <alignment horizontal="right" vertical="center"/>
    </xf>
    <xf numFmtId="179" fontId="31" fillId="0" borderId="99" xfId="0" applyNumberFormat="1" applyFont="1" applyBorder="1" applyAlignment="1">
      <alignment horizontal="right" vertical="center"/>
    </xf>
    <xf numFmtId="0" fontId="10" fillId="0" borderId="107" xfId="0" applyFont="1" applyBorder="1" applyAlignment="1">
      <alignment vertical="center" wrapText="1"/>
    </xf>
    <xf numFmtId="41" fontId="31" fillId="0" borderId="107" xfId="0" applyNumberFormat="1" applyFont="1" applyBorder="1">
      <alignment vertical="center"/>
    </xf>
    <xf numFmtId="41" fontId="10" fillId="3" borderId="107" xfId="5" applyFont="1" applyFill="1" applyBorder="1">
      <alignment vertical="center"/>
    </xf>
    <xf numFmtId="41" fontId="10" fillId="3" borderId="107" xfId="5" applyFont="1" applyFill="1" applyBorder="1" applyAlignment="1">
      <alignment horizontal="center" vertical="center"/>
    </xf>
    <xf numFmtId="181" fontId="31" fillId="0" borderId="107" xfId="0" applyNumberFormat="1" applyFont="1" applyBorder="1" applyAlignment="1">
      <alignment horizontal="right" vertical="center"/>
    </xf>
    <xf numFmtId="185" fontId="31" fillId="0" borderId="107" xfId="0" applyNumberFormat="1" applyFont="1" applyBorder="1" applyAlignment="1">
      <alignment horizontal="right" vertical="center"/>
    </xf>
    <xf numFmtId="178" fontId="31" fillId="0" borderId="107" xfId="0" applyNumberFormat="1" applyFont="1" applyBorder="1" applyAlignment="1">
      <alignment horizontal="right" vertical="center"/>
    </xf>
    <xf numFmtId="179" fontId="31" fillId="0" borderId="107" xfId="0" applyNumberFormat="1" applyFont="1" applyBorder="1" applyAlignment="1">
      <alignment horizontal="right" vertical="center"/>
    </xf>
    <xf numFmtId="0" fontId="10" fillId="0" borderId="12" xfId="0" applyFont="1" applyBorder="1">
      <alignment vertical="center"/>
    </xf>
    <xf numFmtId="0" fontId="10" fillId="11" borderId="107" xfId="0" applyFont="1" applyFill="1" applyBorder="1">
      <alignment vertical="center"/>
    </xf>
    <xf numFmtId="0" fontId="10" fillId="11" borderId="107" xfId="0" applyFont="1" applyFill="1" applyBorder="1" applyAlignment="1">
      <alignment horizontal="center" vertical="center"/>
    </xf>
    <xf numFmtId="41" fontId="10" fillId="11" borderId="107" xfId="5" applyFont="1" applyFill="1" applyBorder="1">
      <alignment vertical="center"/>
    </xf>
    <xf numFmtId="41" fontId="10" fillId="11" borderId="111" xfId="5" applyFont="1" applyFill="1" applyBorder="1">
      <alignment vertical="center"/>
    </xf>
    <xf numFmtId="41" fontId="10" fillId="11" borderId="111" xfId="5" applyFont="1" applyFill="1" applyBorder="1" applyAlignment="1">
      <alignment horizontal="center" vertical="center"/>
    </xf>
    <xf numFmtId="181" fontId="31" fillId="11" borderId="107" xfId="0" applyNumberFormat="1" applyFont="1" applyFill="1" applyBorder="1" applyAlignment="1">
      <alignment horizontal="right" vertical="center"/>
    </xf>
    <xf numFmtId="185" fontId="31" fillId="11" borderId="107" xfId="0" applyNumberFormat="1" applyFont="1" applyFill="1" applyBorder="1" applyAlignment="1">
      <alignment horizontal="right" vertical="center"/>
    </xf>
    <xf numFmtId="178" fontId="31" fillId="11" borderId="107" xfId="0" applyNumberFormat="1" applyFont="1" applyFill="1" applyBorder="1" applyAlignment="1">
      <alignment horizontal="right" vertical="center"/>
    </xf>
    <xf numFmtId="179" fontId="31" fillId="11" borderId="107" xfId="0" applyNumberFormat="1" applyFont="1" applyFill="1" applyBorder="1" applyAlignment="1">
      <alignment horizontal="right" vertical="center"/>
    </xf>
    <xf numFmtId="0" fontId="35" fillId="9" borderId="99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9" fontId="42" fillId="0" borderId="0" xfId="0" applyNumberFormat="1" applyFont="1" applyAlignment="1">
      <alignment horizontal="right" vertical="center"/>
    </xf>
    <xf numFmtId="181" fontId="0" fillId="14" borderId="0" xfId="0" applyNumberFormat="1" applyFill="1" applyAlignment="1">
      <alignment horizontal="center" vertical="center"/>
    </xf>
    <xf numFmtId="179" fontId="10" fillId="0" borderId="12" xfId="0" applyNumberFormat="1" applyFont="1" applyBorder="1" applyAlignment="1">
      <alignment horizontal="center" vertical="center"/>
    </xf>
    <xf numFmtId="179" fontId="10" fillId="3" borderId="99" xfId="0" applyNumberFormat="1" applyFont="1" applyFill="1" applyBorder="1" applyAlignment="1">
      <alignment horizontal="center" vertical="center"/>
    </xf>
    <xf numFmtId="179" fontId="10" fillId="0" borderId="99" xfId="0" applyNumberFormat="1" applyFont="1" applyBorder="1" applyAlignment="1">
      <alignment horizontal="center" vertical="center"/>
    </xf>
    <xf numFmtId="179" fontId="10" fillId="0" borderId="100" xfId="0" applyNumberFormat="1" applyFont="1" applyBorder="1" applyAlignment="1">
      <alignment horizontal="center" vertical="center"/>
    </xf>
    <xf numFmtId="179" fontId="10" fillId="11" borderId="99" xfId="0" applyNumberFormat="1" applyFont="1" applyFill="1" applyBorder="1" applyAlignment="1">
      <alignment horizontal="center" vertical="center"/>
    </xf>
    <xf numFmtId="179" fontId="10" fillId="0" borderId="107" xfId="0" applyNumberFormat="1" applyFont="1" applyBorder="1" applyAlignment="1">
      <alignment horizontal="center" vertical="center"/>
    </xf>
    <xf numFmtId="179" fontId="31" fillId="11" borderId="12" xfId="0" applyNumberFormat="1" applyFont="1" applyFill="1" applyBorder="1" applyAlignment="1">
      <alignment horizontal="center" vertical="center"/>
    </xf>
    <xf numFmtId="179" fontId="31" fillId="11" borderId="99" xfId="0" applyNumberFormat="1" applyFont="1" applyFill="1" applyBorder="1" applyAlignment="1">
      <alignment horizontal="center" vertical="center"/>
    </xf>
    <xf numFmtId="179" fontId="31" fillId="3" borderId="100" xfId="0" applyNumberFormat="1" applyFont="1" applyFill="1" applyBorder="1" applyAlignment="1">
      <alignment horizontal="center" vertical="center"/>
    </xf>
    <xf numFmtId="179" fontId="31" fillId="11" borderId="100" xfId="0" applyNumberFormat="1" applyFont="1" applyFill="1" applyBorder="1" applyAlignment="1">
      <alignment horizontal="center" vertical="center"/>
    </xf>
    <xf numFmtId="179" fontId="31" fillId="0" borderId="10" xfId="0" applyNumberFormat="1" applyFont="1" applyBorder="1" applyAlignment="1">
      <alignment horizontal="center" vertical="center"/>
    </xf>
    <xf numFmtId="179" fontId="31" fillId="0" borderId="99" xfId="0" applyNumberFormat="1" applyFont="1" applyBorder="1" applyAlignment="1">
      <alignment horizontal="center" vertical="center"/>
    </xf>
    <xf numFmtId="179" fontId="31" fillId="0" borderId="107" xfId="0" applyNumberFormat="1" applyFont="1" applyBorder="1" applyAlignment="1">
      <alignment horizontal="center" vertical="center"/>
    </xf>
    <xf numFmtId="179" fontId="31" fillId="11" borderId="23" xfId="0" applyNumberFormat="1" applyFont="1" applyFill="1" applyBorder="1" applyAlignment="1">
      <alignment horizontal="center" vertical="center"/>
    </xf>
    <xf numFmtId="179" fontId="31" fillId="11" borderId="111" xfId="0" applyNumberFormat="1" applyFont="1" applyFill="1" applyBorder="1" applyAlignment="1">
      <alignment horizontal="center" vertical="center"/>
    </xf>
    <xf numFmtId="179" fontId="31" fillId="0" borderId="24" xfId="0" applyNumberFormat="1" applyFont="1" applyBorder="1" applyAlignment="1">
      <alignment horizontal="center" vertical="center"/>
    </xf>
    <xf numFmtId="179" fontId="31" fillId="0" borderId="100" xfId="0" applyNumberFormat="1" applyFont="1" applyBorder="1" applyAlignment="1">
      <alignment horizontal="center" vertical="center"/>
    </xf>
    <xf numFmtId="179" fontId="31" fillId="0" borderId="111" xfId="0" applyNumberFormat="1" applyFont="1" applyBorder="1" applyAlignment="1">
      <alignment horizontal="center" vertical="center"/>
    </xf>
    <xf numFmtId="179" fontId="31" fillId="11" borderId="39" xfId="0" applyNumberFormat="1" applyFont="1" applyFill="1" applyBorder="1" applyAlignment="1">
      <alignment horizontal="center" vertical="center"/>
    </xf>
    <xf numFmtId="179" fontId="31" fillId="0" borderId="23" xfId="0" applyNumberFormat="1" applyFont="1" applyBorder="1" applyAlignment="1">
      <alignment horizontal="center" vertical="center"/>
    </xf>
    <xf numFmtId="179" fontId="31" fillId="0" borderId="101" xfId="0" applyNumberFormat="1" applyFont="1" applyBorder="1" applyAlignment="1">
      <alignment horizontal="center" vertical="center"/>
    </xf>
    <xf numFmtId="0" fontId="31" fillId="0" borderId="111" xfId="0" applyFont="1" applyBorder="1" applyAlignment="1">
      <alignment horizontal="center" vertical="center"/>
    </xf>
    <xf numFmtId="0" fontId="31" fillId="0" borderId="112" xfId="0" applyFont="1" applyBorder="1" applyAlignment="1">
      <alignment horizontal="center" vertical="center"/>
    </xf>
    <xf numFmtId="9" fontId="81" fillId="6" borderId="11" xfId="0" applyNumberFormat="1" applyFont="1" applyFill="1" applyBorder="1" applyAlignment="1">
      <alignment horizontal="right" vertical="center"/>
    </xf>
    <xf numFmtId="9" fontId="81" fillId="6" borderId="74" xfId="0" applyNumberFormat="1" applyFont="1" applyFill="1" applyBorder="1" applyAlignment="1">
      <alignment horizontal="right" vertical="center"/>
    </xf>
    <xf numFmtId="9" fontId="81" fillId="6" borderId="49" xfId="0" applyNumberFormat="1" applyFont="1" applyFill="1" applyBorder="1" applyAlignment="1">
      <alignment horizontal="right" vertical="center"/>
    </xf>
    <xf numFmtId="0" fontId="79" fillId="5" borderId="63" xfId="0" applyFont="1" applyFill="1" applyBorder="1" applyAlignment="1">
      <alignment horizontal="center" vertical="center"/>
    </xf>
    <xf numFmtId="0" fontId="79" fillId="5" borderId="8" xfId="0" applyFont="1" applyFill="1" applyBorder="1" applyAlignment="1">
      <alignment horizontal="center" vertical="center"/>
    </xf>
    <xf numFmtId="0" fontId="54" fillId="0" borderId="40" xfId="0" applyFont="1" applyBorder="1" applyAlignment="1">
      <alignment vertical="center" wrapText="1"/>
    </xf>
    <xf numFmtId="0" fontId="54" fillId="3" borderId="105" xfId="0" applyFont="1" applyFill="1" applyBorder="1" applyAlignment="1">
      <alignment vertical="center" wrapText="1"/>
    </xf>
    <xf numFmtId="0" fontId="54" fillId="0" borderId="95" xfId="0" applyFont="1" applyBorder="1" applyAlignment="1">
      <alignment vertical="center" wrapText="1"/>
    </xf>
    <xf numFmtId="0" fontId="54" fillId="11" borderId="95" xfId="0" applyFont="1" applyFill="1" applyBorder="1" applyAlignment="1">
      <alignment vertical="center" wrapText="1"/>
    </xf>
    <xf numFmtId="0" fontId="54" fillId="0" borderId="113" xfId="0" applyFont="1" applyBorder="1" applyAlignment="1">
      <alignment vertical="center" wrapText="1"/>
    </xf>
    <xf numFmtId="0" fontId="8" fillId="11" borderId="106" xfId="0" applyFont="1" applyFill="1" applyBorder="1">
      <alignment vertical="center"/>
    </xf>
    <xf numFmtId="0" fontId="8" fillId="11" borderId="95" xfId="0" applyFont="1" applyFill="1" applyBorder="1">
      <alignment vertical="center"/>
    </xf>
    <xf numFmtId="0" fontId="8" fillId="3" borderId="95" xfId="0" applyFont="1" applyFill="1" applyBorder="1">
      <alignment vertical="center"/>
    </xf>
    <xf numFmtId="0" fontId="8" fillId="11" borderId="113" xfId="0" applyFont="1" applyFill="1" applyBorder="1">
      <alignment vertical="center"/>
    </xf>
    <xf numFmtId="0" fontId="54" fillId="0" borderId="57" xfId="0" applyFont="1" applyBorder="1" applyAlignment="1">
      <alignment vertical="center" wrapText="1"/>
    </xf>
    <xf numFmtId="0" fontId="8" fillId="0" borderId="57" xfId="0" applyFont="1" applyBorder="1">
      <alignment vertical="center"/>
    </xf>
    <xf numFmtId="0" fontId="8" fillId="0" borderId="95" xfId="0" applyFont="1" applyBorder="1">
      <alignment vertical="center"/>
    </xf>
    <xf numFmtId="0" fontId="8" fillId="0" borderId="113" xfId="0" applyFont="1" applyBorder="1">
      <alignment vertical="center"/>
    </xf>
    <xf numFmtId="0" fontId="54" fillId="0" borderId="106" xfId="0" applyFont="1" applyBorder="1">
      <alignment vertical="center"/>
    </xf>
    <xf numFmtId="0" fontId="54" fillId="0" borderId="95" xfId="0" applyFont="1" applyBorder="1">
      <alignment vertical="center"/>
    </xf>
    <xf numFmtId="0" fontId="54" fillId="0" borderId="113" xfId="0" applyFont="1" applyBorder="1">
      <alignment vertical="center"/>
    </xf>
    <xf numFmtId="0" fontId="54" fillId="11" borderId="98" xfId="0" applyFont="1" applyFill="1" applyBorder="1" applyAlignment="1">
      <alignment horizontal="left" vertical="top" wrapText="1"/>
    </xf>
    <xf numFmtId="0" fontId="54" fillId="0" borderId="57" xfId="0" applyFont="1" applyBorder="1">
      <alignment vertical="center"/>
    </xf>
    <xf numFmtId="0" fontId="54" fillId="11" borderId="57" xfId="0" applyFont="1" applyFill="1" applyBorder="1">
      <alignment vertical="center"/>
    </xf>
    <xf numFmtId="0" fontId="54" fillId="11" borderId="95" xfId="0" applyFont="1" applyFill="1" applyBorder="1">
      <alignment vertical="center"/>
    </xf>
    <xf numFmtId="0" fontId="54" fillId="11" borderId="113" xfId="0" applyFont="1" applyFill="1" applyBorder="1">
      <alignment vertical="center"/>
    </xf>
    <xf numFmtId="0" fontId="54" fillId="0" borderId="105" xfId="0" applyFont="1" applyBorder="1">
      <alignment vertical="center"/>
    </xf>
    <xf numFmtId="0" fontId="0" fillId="0" borderId="114" xfId="0" applyBorder="1" applyAlignment="1">
      <alignment horizontal="center" vertical="center"/>
    </xf>
    <xf numFmtId="0" fontId="0" fillId="3" borderId="115" xfId="0" applyFill="1" applyBorder="1" applyAlignment="1">
      <alignment horizontal="center" vertical="center"/>
    </xf>
    <xf numFmtId="0" fontId="0" fillId="3" borderId="116" xfId="0" applyFill="1" applyBorder="1" applyAlignment="1">
      <alignment horizontal="center" vertical="center"/>
    </xf>
    <xf numFmtId="0" fontId="0" fillId="3" borderId="117" xfId="0" applyFill="1" applyBorder="1" applyAlignment="1">
      <alignment horizontal="center" vertical="center"/>
    </xf>
    <xf numFmtId="0" fontId="0" fillId="3" borderId="118" xfId="0" applyFill="1" applyBorder="1" applyAlignment="1">
      <alignment horizontal="center" vertical="center"/>
    </xf>
    <xf numFmtId="0" fontId="0" fillId="3" borderId="114" xfId="0" applyFill="1" applyBorder="1" applyAlignment="1">
      <alignment horizontal="center" vertical="center"/>
    </xf>
    <xf numFmtId="0" fontId="10" fillId="0" borderId="102" xfId="0" applyFont="1" applyBorder="1" applyAlignment="1">
      <alignment horizontal="left" vertical="center" wrapText="1"/>
    </xf>
    <xf numFmtId="0" fontId="10" fillId="0" borderId="102" xfId="0" applyFont="1" applyBorder="1" applyAlignment="1">
      <alignment horizontal="center" vertical="center" wrapText="1"/>
    </xf>
    <xf numFmtId="41" fontId="31" fillId="0" borderId="102" xfId="0" applyNumberFormat="1" applyFont="1" applyBorder="1">
      <alignment vertical="center"/>
    </xf>
    <xf numFmtId="41" fontId="10" fillId="0" borderId="102" xfId="5" applyFont="1" applyFill="1" applyBorder="1">
      <alignment vertical="center"/>
    </xf>
    <xf numFmtId="41" fontId="10" fillId="0" borderId="102" xfId="5" applyFont="1" applyFill="1" applyBorder="1" applyAlignment="1">
      <alignment horizontal="center" vertical="center"/>
    </xf>
    <xf numFmtId="181" fontId="31" fillId="0" borderId="102" xfId="0" applyNumberFormat="1" applyFont="1" applyBorder="1" applyAlignment="1">
      <alignment horizontal="right" vertical="center"/>
    </xf>
    <xf numFmtId="178" fontId="31" fillId="0" borderId="102" xfId="0" applyNumberFormat="1" applyFont="1" applyBorder="1" applyAlignment="1">
      <alignment horizontal="right" vertical="center"/>
    </xf>
    <xf numFmtId="179" fontId="31" fillId="0" borderId="102" xfId="0" applyNumberFormat="1" applyFont="1" applyBorder="1" applyAlignment="1">
      <alignment horizontal="right" vertical="center"/>
    </xf>
    <xf numFmtId="0" fontId="31" fillId="0" borderId="101" xfId="0" applyFont="1" applyBorder="1" applyAlignment="1">
      <alignment horizontal="center" vertical="center"/>
    </xf>
    <xf numFmtId="0" fontId="31" fillId="0" borderId="108" xfId="0" applyFont="1" applyBorder="1" applyAlignment="1">
      <alignment horizontal="center" vertical="center"/>
    </xf>
    <xf numFmtId="0" fontId="10" fillId="0" borderId="107" xfId="0" applyFont="1" applyBorder="1" applyAlignment="1">
      <alignment horizontal="left" vertical="center" wrapText="1"/>
    </xf>
    <xf numFmtId="0" fontId="10" fillId="0" borderId="107" xfId="0" applyFont="1" applyBorder="1" applyAlignment="1">
      <alignment horizontal="center" vertical="center" wrapText="1"/>
    </xf>
    <xf numFmtId="41" fontId="10" fillId="0" borderId="107" xfId="5" applyFont="1" applyFill="1" applyBorder="1">
      <alignment vertical="center"/>
    </xf>
    <xf numFmtId="41" fontId="10" fillId="0" borderId="107" xfId="5" applyFont="1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73" fillId="0" borderId="74" xfId="0" quotePrefix="1" applyFont="1" applyBorder="1" applyAlignment="1">
      <alignment horizontal="center" vertical="center"/>
    </xf>
    <xf numFmtId="0" fontId="0" fillId="0" borderId="96" xfId="0" applyBorder="1">
      <alignment vertical="center"/>
    </xf>
    <xf numFmtId="0" fontId="0" fillId="0" borderId="97" xfId="0" applyBorder="1">
      <alignment vertical="center"/>
    </xf>
    <xf numFmtId="0" fontId="0" fillId="0" borderId="95" xfId="0" applyBorder="1">
      <alignment vertical="center"/>
    </xf>
    <xf numFmtId="0" fontId="0" fillId="0" borderId="71" xfId="0" applyBorder="1">
      <alignment vertical="center"/>
    </xf>
    <xf numFmtId="0" fontId="0" fillId="0" borderId="70" xfId="0" applyBorder="1">
      <alignment vertical="center"/>
    </xf>
    <xf numFmtId="0" fontId="70" fillId="0" borderId="75" xfId="0" applyFont="1" applyBorder="1" applyAlignment="1">
      <alignment horizontal="center" vertical="center" wrapText="1"/>
    </xf>
    <xf numFmtId="0" fontId="70" fillId="0" borderId="76" xfId="0" applyFont="1" applyBorder="1" applyAlignment="1">
      <alignment horizontal="center" vertical="center" wrapText="1"/>
    </xf>
    <xf numFmtId="0" fontId="70" fillId="6" borderId="76" xfId="0" applyFont="1" applyFill="1" applyBorder="1" applyAlignment="1">
      <alignment horizontal="center" vertical="center" wrapText="1"/>
    </xf>
    <xf numFmtId="0" fontId="70" fillId="0" borderId="77" xfId="0" applyFont="1" applyBorder="1" applyAlignment="1">
      <alignment horizontal="center" vertical="center" wrapText="1"/>
    </xf>
    <xf numFmtId="0" fontId="70" fillId="0" borderId="78" xfId="0" applyFont="1" applyBorder="1" applyAlignment="1">
      <alignment horizontal="center" vertical="center" wrapText="1"/>
    </xf>
    <xf numFmtId="0" fontId="70" fillId="0" borderId="79" xfId="0" applyFont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 wrapText="1"/>
    </xf>
    <xf numFmtId="0" fontId="70" fillId="6" borderId="1" xfId="0" applyFont="1" applyFill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0" fontId="70" fillId="0" borderId="80" xfId="0" applyFont="1" applyBorder="1" applyAlignment="1">
      <alignment horizontal="center" vertical="center" wrapText="1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58" fontId="66" fillId="0" borderId="32" xfId="0" applyNumberFormat="1" applyFont="1" applyBorder="1" applyAlignment="1">
      <alignment horizontal="center" vertical="center"/>
    </xf>
    <xf numFmtId="58" fontId="67" fillId="0" borderId="32" xfId="0" applyNumberFormat="1" applyFont="1" applyBorder="1" applyAlignment="1">
      <alignment horizontal="left" vertical="center" indent="1"/>
    </xf>
    <xf numFmtId="58" fontId="69" fillId="0" borderId="32" xfId="0" applyNumberFormat="1" applyFont="1" applyBorder="1" applyAlignment="1">
      <alignment horizontal="center" vertical="center"/>
    </xf>
    <xf numFmtId="0" fontId="70" fillId="0" borderId="81" xfId="0" applyFont="1" applyBorder="1" applyAlignment="1">
      <alignment horizontal="center" vertical="center" wrapText="1"/>
    </xf>
    <xf numFmtId="0" fontId="70" fillId="0" borderId="3" xfId="0" applyFont="1" applyBorder="1" applyAlignment="1">
      <alignment horizontal="center" vertical="center" wrapText="1"/>
    </xf>
    <xf numFmtId="0" fontId="70" fillId="6" borderId="2" xfId="0" applyFont="1" applyFill="1" applyBorder="1" applyAlignment="1">
      <alignment horizontal="center" vertical="center" wrapText="1"/>
    </xf>
    <xf numFmtId="0" fontId="70" fillId="6" borderId="4" xfId="0" applyFont="1" applyFill="1" applyBorder="1" applyAlignment="1">
      <alignment horizontal="center" vertical="center" wrapText="1"/>
    </xf>
    <xf numFmtId="0" fontId="70" fillId="6" borderId="3" xfId="0" applyFont="1" applyFill="1" applyBorder="1" applyAlignment="1">
      <alignment horizontal="center" vertical="center" wrapText="1"/>
    </xf>
    <xf numFmtId="0" fontId="70" fillId="0" borderId="82" xfId="0" applyFont="1" applyBorder="1" applyAlignment="1">
      <alignment horizontal="center" vertical="center" wrapText="1"/>
    </xf>
    <xf numFmtId="0" fontId="70" fillId="0" borderId="83" xfId="0" applyFont="1" applyBorder="1" applyAlignment="1">
      <alignment horizontal="center" vertical="center" wrapText="1"/>
    </xf>
    <xf numFmtId="0" fontId="63" fillId="6" borderId="83" xfId="17" applyFill="1" applyBorder="1" applyAlignment="1">
      <alignment horizontal="center" vertical="center" wrapText="1"/>
    </xf>
    <xf numFmtId="0" fontId="70" fillId="6" borderId="83" xfId="0" applyFont="1" applyFill="1" applyBorder="1" applyAlignment="1">
      <alignment horizontal="center" vertical="center" wrapText="1"/>
    </xf>
    <xf numFmtId="0" fontId="63" fillId="0" borderId="84" xfId="17" applyBorder="1" applyAlignment="1">
      <alignment horizontal="center" vertical="center" wrapText="1"/>
    </xf>
    <xf numFmtId="0" fontId="70" fillId="0" borderId="85" xfId="0" applyFont="1" applyBorder="1" applyAlignment="1">
      <alignment horizontal="center" vertical="center" wrapText="1"/>
    </xf>
    <xf numFmtId="0" fontId="70" fillId="0" borderId="87" xfId="0" applyFont="1" applyBorder="1" applyAlignment="1">
      <alignment horizontal="center" vertical="center" wrapText="1"/>
    </xf>
    <xf numFmtId="0" fontId="71" fillId="6" borderId="1" xfId="0" applyFont="1" applyFill="1" applyBorder="1" applyAlignment="1">
      <alignment horizontal="left" vertical="center" wrapText="1" indent="1"/>
    </xf>
    <xf numFmtId="0" fontId="71" fillId="6" borderId="86" xfId="0" applyFont="1" applyFill="1" applyBorder="1" applyAlignment="1">
      <alignment horizontal="left" vertical="center" wrapText="1" indent="1"/>
    </xf>
    <xf numFmtId="0" fontId="71" fillId="6" borderId="89" xfId="0" applyFont="1" applyFill="1" applyBorder="1" applyAlignment="1">
      <alignment horizontal="center" vertical="center" wrapText="1"/>
    </xf>
    <xf numFmtId="0" fontId="71" fillId="6" borderId="90" xfId="0" applyFont="1" applyFill="1" applyBorder="1" applyAlignment="1">
      <alignment horizontal="center" vertical="center" wrapText="1"/>
    </xf>
    <xf numFmtId="0" fontId="71" fillId="6" borderId="91" xfId="0" applyFont="1" applyFill="1" applyBorder="1" applyAlignment="1">
      <alignment horizontal="center" vertical="center" wrapText="1"/>
    </xf>
    <xf numFmtId="0" fontId="71" fillId="6" borderId="89" xfId="0" quotePrefix="1" applyFont="1" applyFill="1" applyBorder="1" applyAlignment="1">
      <alignment horizontal="center" vertical="center" wrapText="1"/>
    </xf>
    <xf numFmtId="0" fontId="71" fillId="6" borderId="92" xfId="0" applyFont="1" applyFill="1" applyBorder="1" applyAlignment="1">
      <alignment horizontal="center" vertical="center" wrapText="1"/>
    </xf>
    <xf numFmtId="0" fontId="72" fillId="0" borderId="27" xfId="0" applyFont="1" applyBorder="1" applyAlignment="1">
      <alignment horizontal="center" vertical="center" wrapText="1"/>
    </xf>
    <xf numFmtId="0" fontId="70" fillId="0" borderId="93" xfId="0" applyFont="1" applyBorder="1" applyAlignment="1">
      <alignment horizontal="center" vertical="center" wrapText="1"/>
    </xf>
    <xf numFmtId="0" fontId="70" fillId="0" borderId="94" xfId="0" applyFont="1" applyBorder="1" applyAlignment="1">
      <alignment horizontal="center" vertical="center" wrapText="1"/>
    </xf>
    <xf numFmtId="0" fontId="70" fillId="0" borderId="57" xfId="0" applyFont="1" applyBorder="1" applyAlignment="1">
      <alignment horizontal="center" vertical="center" wrapText="1"/>
    </xf>
    <xf numFmtId="0" fontId="74" fillId="0" borderId="96" xfId="0" applyFont="1" applyBorder="1" applyAlignment="1">
      <alignment horizontal="center" vertical="center" wrapText="1"/>
    </xf>
    <xf numFmtId="0" fontId="74" fillId="0" borderId="97" xfId="0" applyFont="1" applyBorder="1" applyAlignment="1">
      <alignment horizontal="center" vertical="center" wrapText="1"/>
    </xf>
    <xf numFmtId="0" fontId="74" fillId="0" borderId="95" xfId="0" applyFont="1" applyBorder="1" applyAlignment="1">
      <alignment horizontal="center" vertical="center" wrapText="1"/>
    </xf>
    <xf numFmtId="0" fontId="67" fillId="0" borderId="63" xfId="0" applyFont="1" applyBorder="1" applyAlignment="1">
      <alignment horizontal="center" vertical="center" wrapText="1"/>
    </xf>
    <xf numFmtId="0" fontId="67" fillId="0" borderId="64" xfId="0" applyFont="1" applyBorder="1" applyAlignment="1">
      <alignment horizontal="center" vertical="center" wrapText="1"/>
    </xf>
    <xf numFmtId="0" fontId="67" fillId="0" borderId="98" xfId="0" applyFont="1" applyBorder="1" applyAlignment="1">
      <alignment horizontal="center" vertical="center" wrapText="1"/>
    </xf>
    <xf numFmtId="0" fontId="73" fillId="0" borderId="72" xfId="0" applyFont="1" applyBorder="1" applyAlignment="1">
      <alignment horizontal="center" vertical="center"/>
    </xf>
    <xf numFmtId="0" fontId="73" fillId="0" borderId="95" xfId="0" applyFont="1" applyBorder="1" applyAlignment="1">
      <alignment horizontal="center" vertical="center"/>
    </xf>
    <xf numFmtId="0" fontId="31" fillId="11" borderId="50" xfId="0" applyFont="1" applyFill="1" applyBorder="1" applyAlignment="1">
      <alignment horizontal="center" vertical="center"/>
    </xf>
    <xf numFmtId="0" fontId="31" fillId="11" borderId="55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1" fillId="6" borderId="16" xfId="0" applyFont="1" applyFill="1" applyBorder="1" applyAlignment="1">
      <alignment horizontal="center" vertical="center"/>
    </xf>
    <xf numFmtId="0" fontId="31" fillId="6" borderId="50" xfId="0" applyFont="1" applyFill="1" applyBorder="1" applyAlignment="1">
      <alignment horizontal="center" vertical="center"/>
    </xf>
    <xf numFmtId="0" fontId="31" fillId="6" borderId="55" xfId="0" applyFont="1" applyFill="1" applyBorder="1" applyAlignment="1">
      <alignment horizontal="center" vertical="center"/>
    </xf>
    <xf numFmtId="0" fontId="31" fillId="0" borderId="44" xfId="0" applyFont="1" applyBorder="1" applyAlignment="1">
      <alignment horizontal="center" vertical="center"/>
    </xf>
    <xf numFmtId="0" fontId="31" fillId="0" borderId="46" xfId="0" applyFont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31" fillId="0" borderId="49" xfId="0" applyFont="1" applyBorder="1" applyAlignment="1">
      <alignment horizontal="center" vertical="center"/>
    </xf>
    <xf numFmtId="0" fontId="31" fillId="11" borderId="23" xfId="0" applyFont="1" applyFill="1" applyBorder="1" applyAlignment="1">
      <alignment horizontal="center" vertical="center"/>
    </xf>
    <xf numFmtId="0" fontId="31" fillId="11" borderId="37" xfId="0" applyFont="1" applyFill="1" applyBorder="1" applyAlignment="1">
      <alignment horizontal="center" vertical="center"/>
    </xf>
    <xf numFmtId="185" fontId="26" fillId="0" borderId="21" xfId="0" applyNumberFormat="1" applyFont="1" applyBorder="1" applyAlignment="1">
      <alignment horizontal="center" vertical="center"/>
    </xf>
    <xf numFmtId="185" fontId="26" fillId="0" borderId="22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11" borderId="7" xfId="0" applyFont="1" applyFill="1" applyBorder="1" applyAlignment="1">
      <alignment horizontal="center" vertical="center"/>
    </xf>
    <xf numFmtId="0" fontId="31" fillId="11" borderId="16" xfId="0" applyFont="1" applyFill="1" applyBorder="1" applyAlignment="1">
      <alignment horizontal="center" vertical="center"/>
    </xf>
    <xf numFmtId="0" fontId="31" fillId="11" borderId="100" xfId="0" applyFont="1" applyFill="1" applyBorder="1" applyAlignment="1">
      <alignment horizontal="center" vertical="center"/>
    </xf>
    <xf numFmtId="0" fontId="31" fillId="11" borderId="110" xfId="0" applyFont="1" applyFill="1" applyBorder="1" applyAlignment="1">
      <alignment horizontal="center" vertical="center"/>
    </xf>
    <xf numFmtId="0" fontId="0" fillId="6" borderId="50" xfId="0" applyFill="1" applyBorder="1" applyAlignment="1">
      <alignment horizontal="center" vertical="center"/>
    </xf>
    <xf numFmtId="0" fontId="0" fillId="6" borderId="55" xfId="0" applyFill="1" applyBorder="1" applyAlignment="1">
      <alignment horizontal="center" vertical="center"/>
    </xf>
    <xf numFmtId="10" fontId="39" fillId="5" borderId="26" xfId="0" applyNumberFormat="1" applyFont="1" applyFill="1" applyBorder="1" applyAlignment="1">
      <alignment horizontal="center" vertical="center"/>
    </xf>
    <xf numFmtId="10" fontId="39" fillId="5" borderId="27" xfId="0" applyNumberFormat="1" applyFont="1" applyFill="1" applyBorder="1" applyAlignment="1">
      <alignment horizontal="center" vertical="center"/>
    </xf>
    <xf numFmtId="0" fontId="39" fillId="5" borderId="27" xfId="0" applyFont="1" applyFill="1" applyBorder="1" applyAlignment="1">
      <alignment horizontal="center" vertical="center"/>
    </xf>
    <xf numFmtId="0" fontId="39" fillId="5" borderId="28" xfId="0" applyFont="1" applyFill="1" applyBorder="1" applyAlignment="1">
      <alignment horizontal="center" vertical="center"/>
    </xf>
    <xf numFmtId="0" fontId="39" fillId="5" borderId="31" xfId="0" applyFont="1" applyFill="1" applyBorder="1" applyAlignment="1">
      <alignment horizontal="center" vertical="center"/>
    </xf>
    <xf numFmtId="0" fontId="39" fillId="5" borderId="32" xfId="0" applyFont="1" applyFill="1" applyBorder="1" applyAlignment="1">
      <alignment horizontal="center" vertical="center"/>
    </xf>
    <xf numFmtId="0" fontId="39" fillId="5" borderId="33" xfId="0" applyFont="1" applyFill="1" applyBorder="1" applyAlignment="1">
      <alignment horizontal="center" vertical="center"/>
    </xf>
    <xf numFmtId="0" fontId="31" fillId="0" borderId="24" xfId="0" applyFont="1" applyBorder="1" applyAlignment="1">
      <alignment horizontal="center" vertical="center"/>
    </xf>
    <xf numFmtId="0" fontId="31" fillId="0" borderId="54" xfId="0" applyFont="1" applyBorder="1" applyAlignment="1">
      <alignment horizontal="center" vertical="center"/>
    </xf>
    <xf numFmtId="0" fontId="31" fillId="0" borderId="20" xfId="0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31" fillId="0" borderId="99" xfId="0" applyFont="1" applyBorder="1" applyAlignment="1">
      <alignment horizontal="center" vertical="center"/>
    </xf>
    <xf numFmtId="0" fontId="31" fillId="0" borderId="109" xfId="0" applyFont="1" applyBorder="1" applyAlignment="1">
      <alignment horizontal="center" vertical="center"/>
    </xf>
    <xf numFmtId="0" fontId="31" fillId="0" borderId="50" xfId="0" applyFont="1" applyBorder="1" applyAlignment="1">
      <alignment horizontal="center" vertical="center"/>
    </xf>
    <xf numFmtId="0" fontId="31" fillId="0" borderId="5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1" fillId="6" borderId="111" xfId="0" applyFont="1" applyFill="1" applyBorder="1" applyAlignment="1">
      <alignment horizontal="center" vertical="center"/>
    </xf>
    <xf numFmtId="0" fontId="31" fillId="6" borderId="11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31" fillId="11" borderId="52" xfId="0" applyFont="1" applyFill="1" applyBorder="1" applyAlignment="1">
      <alignment horizontal="center" vertical="center"/>
    </xf>
    <xf numFmtId="0" fontId="31" fillId="11" borderId="56" xfId="0" applyFont="1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38" fillId="5" borderId="19" xfId="0" applyFont="1" applyFill="1" applyBorder="1" applyAlignment="1">
      <alignment horizontal="center" vertical="center"/>
    </xf>
    <xf numFmtId="0" fontId="38" fillId="5" borderId="26" xfId="0" applyFont="1" applyFill="1" applyBorder="1" applyAlignment="1">
      <alignment horizontal="center" vertical="center"/>
    </xf>
    <xf numFmtId="0" fontId="38" fillId="5" borderId="27" xfId="0" applyFont="1" applyFill="1" applyBorder="1" applyAlignment="1">
      <alignment horizontal="center" vertical="center"/>
    </xf>
    <xf numFmtId="0" fontId="38" fillId="5" borderId="28" xfId="0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0" fontId="38" fillId="5" borderId="32" xfId="0" applyFont="1" applyFill="1" applyBorder="1" applyAlignment="1">
      <alignment horizontal="center" vertical="center"/>
    </xf>
    <xf numFmtId="0" fontId="38" fillId="5" borderId="33" xfId="0" applyFont="1" applyFill="1" applyBorder="1" applyAlignment="1">
      <alignment horizontal="center" vertical="center"/>
    </xf>
    <xf numFmtId="9" fontId="38" fillId="5" borderId="19" xfId="0" applyNumberFormat="1" applyFont="1" applyFill="1" applyBorder="1" applyAlignment="1">
      <alignment horizontal="center" vertical="center"/>
    </xf>
    <xf numFmtId="9" fontId="38" fillId="5" borderId="27" xfId="0" applyNumberFormat="1" applyFont="1" applyFill="1" applyBorder="1" applyAlignment="1">
      <alignment horizontal="center" vertical="center"/>
    </xf>
    <xf numFmtId="9" fontId="38" fillId="5" borderId="28" xfId="0" applyNumberFormat="1" applyFont="1" applyFill="1" applyBorder="1" applyAlignment="1">
      <alignment horizontal="center" vertical="center"/>
    </xf>
    <xf numFmtId="9" fontId="38" fillId="5" borderId="32" xfId="0" applyNumberFormat="1" applyFont="1" applyFill="1" applyBorder="1" applyAlignment="1">
      <alignment horizontal="center" vertical="center"/>
    </xf>
    <xf numFmtId="9" fontId="38" fillId="5" borderId="33" xfId="0" applyNumberFormat="1" applyFont="1" applyFill="1" applyBorder="1" applyAlignment="1">
      <alignment horizontal="center" vertical="center"/>
    </xf>
    <xf numFmtId="41" fontId="37" fillId="0" borderId="21" xfId="0" applyNumberFormat="1" applyFont="1" applyBorder="1" applyAlignment="1">
      <alignment horizontal="center" vertical="center"/>
    </xf>
    <xf numFmtId="41" fontId="37" fillId="0" borderId="22" xfId="0" applyNumberFormat="1" applyFont="1" applyBorder="1" applyAlignment="1">
      <alignment horizontal="center" vertical="center"/>
    </xf>
    <xf numFmtId="178" fontId="26" fillId="0" borderId="21" xfId="0" applyNumberFormat="1" applyFont="1" applyBorder="1" applyAlignment="1">
      <alignment horizontal="center" vertical="center"/>
    </xf>
    <xf numFmtId="178" fontId="26" fillId="0" borderId="22" xfId="0" applyNumberFormat="1" applyFont="1" applyBorder="1" applyAlignment="1">
      <alignment horizontal="center" vertical="center"/>
    </xf>
    <xf numFmtId="181" fontId="26" fillId="0" borderId="21" xfId="0" applyNumberFormat="1" applyFont="1" applyBorder="1" applyAlignment="1">
      <alignment horizontal="center" vertical="center"/>
    </xf>
    <xf numFmtId="181" fontId="26" fillId="0" borderId="22" xfId="0" applyNumberFormat="1" applyFont="1" applyBorder="1" applyAlignment="1">
      <alignment horizontal="center" vertical="center"/>
    </xf>
    <xf numFmtId="179" fontId="26" fillId="0" borderId="21" xfId="0" applyNumberFormat="1" applyFont="1" applyBorder="1" applyAlignment="1">
      <alignment horizontal="center" vertical="center"/>
    </xf>
    <xf numFmtId="179" fontId="26" fillId="0" borderId="22" xfId="0" applyNumberFormat="1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41" fontId="37" fillId="0" borderId="19" xfId="0" applyNumberFormat="1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8" xfId="0" applyFont="1" applyBorder="1" applyAlignment="1">
      <alignment horizontal="center" vertical="center"/>
    </xf>
    <xf numFmtId="181" fontId="0" fillId="14" borderId="63" xfId="0" applyNumberFormat="1" applyFill="1" applyBorder="1" applyAlignment="1">
      <alignment horizontal="center" vertical="center"/>
    </xf>
    <xf numFmtId="181" fontId="0" fillId="14" borderId="64" xfId="0" applyNumberFormat="1" applyFill="1" applyBorder="1" applyAlignment="1">
      <alignment horizontal="center" vertical="center"/>
    </xf>
    <xf numFmtId="181" fontId="0" fillId="14" borderId="8" xfId="0" applyNumberFormat="1" applyFill="1" applyBorder="1" applyAlignment="1">
      <alignment horizontal="center" vertical="center"/>
    </xf>
    <xf numFmtId="0" fontId="32" fillId="5" borderId="19" xfId="0" applyFont="1" applyFill="1" applyBorder="1" applyAlignment="1">
      <alignment horizontal="center" vertical="center"/>
    </xf>
    <xf numFmtId="0" fontId="31" fillId="0" borderId="66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11" borderId="39" xfId="0" applyFont="1" applyFill="1" applyBorder="1" applyAlignment="1">
      <alignment horizontal="center" vertical="center"/>
    </xf>
    <xf numFmtId="0" fontId="31" fillId="11" borderId="8" xfId="0" applyFont="1" applyFill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0" fontId="31" fillId="0" borderId="110" xfId="0" applyFont="1" applyBorder="1" applyAlignment="1">
      <alignment horizontal="center" vertical="center"/>
    </xf>
    <xf numFmtId="0" fontId="31" fillId="0" borderId="111" xfId="0" applyFont="1" applyBorder="1" applyAlignment="1">
      <alignment horizontal="center" vertical="center"/>
    </xf>
    <xf numFmtId="0" fontId="31" fillId="0" borderId="112" xfId="0" applyFont="1" applyBorder="1" applyAlignment="1">
      <alignment horizontal="center" vertical="center"/>
    </xf>
    <xf numFmtId="0" fontId="31" fillId="0" borderId="68" xfId="0" applyFont="1" applyBorder="1" applyAlignment="1">
      <alignment horizontal="center" vertical="center"/>
    </xf>
    <xf numFmtId="0" fontId="31" fillId="0" borderId="69" xfId="0" applyFont="1" applyBorder="1" applyAlignment="1">
      <alignment horizontal="center" vertical="center"/>
    </xf>
    <xf numFmtId="0" fontId="31" fillId="11" borderId="72" xfId="0" applyFont="1" applyFill="1" applyBorder="1" applyAlignment="1">
      <alignment horizontal="center" vertical="center"/>
    </xf>
    <xf numFmtId="0" fontId="31" fillId="11" borderId="66" xfId="0" applyFont="1" applyFill="1" applyBorder="1" applyAlignment="1">
      <alignment horizontal="center" vertical="center"/>
    </xf>
    <xf numFmtId="0" fontId="31" fillId="11" borderId="69" xfId="0" applyFont="1" applyFill="1" applyBorder="1" applyAlignment="1">
      <alignment horizontal="center" vertical="center"/>
    </xf>
    <xf numFmtId="0" fontId="31" fillId="0" borderId="51" xfId="0" applyFont="1" applyBorder="1" applyAlignment="1">
      <alignment horizontal="center" vertical="center"/>
    </xf>
    <xf numFmtId="0" fontId="31" fillId="0" borderId="73" xfId="0" applyFont="1" applyBorder="1" applyAlignment="1">
      <alignment horizontal="center" vertical="center"/>
    </xf>
    <xf numFmtId="9" fontId="38" fillId="5" borderId="21" xfId="0" applyNumberFormat="1" applyFont="1" applyFill="1" applyBorder="1" applyAlignment="1">
      <alignment horizontal="center" vertical="center"/>
    </xf>
    <xf numFmtId="9" fontId="38" fillId="5" borderId="22" xfId="0" applyNumberFormat="1" applyFont="1" applyFill="1" applyBorder="1" applyAlignment="1">
      <alignment horizontal="center" vertical="center"/>
    </xf>
    <xf numFmtId="0" fontId="38" fillId="5" borderId="21" xfId="0" applyFont="1" applyFill="1" applyBorder="1" applyAlignment="1">
      <alignment horizontal="center" vertical="center"/>
    </xf>
    <xf numFmtId="0" fontId="38" fillId="5" borderId="2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left" vertical="center"/>
    </xf>
    <xf numFmtId="0" fontId="8" fillId="6" borderId="3" xfId="0" applyFont="1" applyFill="1" applyBorder="1" applyAlignment="1">
      <alignment horizontal="left" vertical="center"/>
    </xf>
    <xf numFmtId="177" fontId="8" fillId="6" borderId="2" xfId="0" applyNumberFormat="1" applyFont="1" applyFill="1" applyBorder="1" applyAlignment="1">
      <alignment horizontal="left" vertical="center"/>
    </xf>
    <xf numFmtId="177" fontId="8" fillId="6" borderId="3" xfId="0" applyNumberFormat="1" applyFont="1" applyFill="1" applyBorder="1" applyAlignment="1">
      <alignment horizontal="left" vertical="center"/>
    </xf>
    <xf numFmtId="177" fontId="21" fillId="5" borderId="2" xfId="0" applyNumberFormat="1" applyFont="1" applyFill="1" applyBorder="1" applyAlignment="1">
      <alignment horizontal="left" vertical="center"/>
    </xf>
    <xf numFmtId="177" fontId="21" fillId="5" borderId="3" xfId="0" applyNumberFormat="1" applyFont="1" applyFill="1" applyBorder="1" applyAlignment="1">
      <alignment horizontal="left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8" fillId="6" borderId="2" xfId="0" applyFont="1" applyFill="1" applyBorder="1" applyAlignment="1">
      <alignment horizontal="left" vertical="center" wrapText="1"/>
    </xf>
    <xf numFmtId="0" fontId="8" fillId="6" borderId="3" xfId="0" applyFont="1" applyFill="1" applyBorder="1" applyAlignment="1">
      <alignment horizontal="left" vertical="center" wrapText="1"/>
    </xf>
    <xf numFmtId="0" fontId="8" fillId="6" borderId="2" xfId="0" quotePrefix="1" applyFont="1" applyFill="1" applyBorder="1" applyAlignment="1">
      <alignment horizontal="left" vertical="center"/>
    </xf>
    <xf numFmtId="0" fontId="8" fillId="6" borderId="3" xfId="0" quotePrefix="1" applyFont="1" applyFill="1" applyBorder="1" applyAlignment="1">
      <alignment horizontal="left" vertical="center"/>
    </xf>
    <xf numFmtId="0" fontId="19" fillId="0" borderId="45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19" fillId="0" borderId="47" xfId="0" applyFont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41" fontId="42" fillId="0" borderId="46" xfId="0" applyNumberFormat="1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41" fontId="42" fillId="0" borderId="74" xfId="0" applyNumberFormat="1" applyFont="1" applyBorder="1" applyAlignment="1">
      <alignment horizontal="center" vertical="center"/>
    </xf>
    <xf numFmtId="0" fontId="42" fillId="0" borderId="74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8" fillId="0" borderId="44" xfId="0" applyFont="1" applyBorder="1" applyAlignment="1">
      <alignment horizontal="center" vertical="center"/>
    </xf>
    <xf numFmtId="0" fontId="48" fillId="0" borderId="71" xfId="0" applyFont="1" applyBorder="1" applyAlignment="1">
      <alignment horizontal="center" vertical="center"/>
    </xf>
    <xf numFmtId="0" fontId="48" fillId="0" borderId="70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48" xfId="0" applyFont="1" applyBorder="1" applyAlignment="1">
      <alignment horizontal="center" vertical="center"/>
    </xf>
    <xf numFmtId="9" fontId="42" fillId="0" borderId="74" xfId="0" applyNumberFormat="1" applyFont="1" applyBorder="1" applyAlignment="1">
      <alignment horizontal="right" vertical="center"/>
    </xf>
    <xf numFmtId="9" fontId="42" fillId="0" borderId="49" xfId="0" applyNumberFormat="1" applyFont="1" applyBorder="1" applyAlignment="1">
      <alignment horizontal="right" vertical="center"/>
    </xf>
    <xf numFmtId="0" fontId="43" fillId="9" borderId="26" xfId="0" applyFont="1" applyFill="1" applyBorder="1" applyAlignment="1">
      <alignment horizontal="center" vertical="center" wrapText="1"/>
    </xf>
    <xf numFmtId="0" fontId="43" fillId="9" borderId="28" xfId="0" applyFont="1" applyFill="1" applyBorder="1" applyAlignment="1">
      <alignment horizontal="center" vertical="center" wrapText="1"/>
    </xf>
    <xf numFmtId="0" fontId="43" fillId="9" borderId="31" xfId="0" applyFont="1" applyFill="1" applyBorder="1" applyAlignment="1">
      <alignment horizontal="center" vertical="center" wrapText="1"/>
    </xf>
    <xf numFmtId="0" fontId="43" fillId="9" borderId="33" xfId="0" applyFont="1" applyFill="1" applyBorder="1" applyAlignment="1">
      <alignment horizontal="center" vertical="center" wrapText="1"/>
    </xf>
    <xf numFmtId="0" fontId="48" fillId="12" borderId="26" xfId="0" applyFont="1" applyFill="1" applyBorder="1" applyAlignment="1">
      <alignment horizontal="center" vertical="center"/>
    </xf>
    <xf numFmtId="0" fontId="48" fillId="12" borderId="28" xfId="0" applyFont="1" applyFill="1" applyBorder="1" applyAlignment="1">
      <alignment horizontal="center" vertical="center"/>
    </xf>
    <xf numFmtId="0" fontId="48" fillId="12" borderId="31" xfId="0" applyFont="1" applyFill="1" applyBorder="1" applyAlignment="1">
      <alignment horizontal="center" vertical="center"/>
    </xf>
    <xf numFmtId="0" fontId="48" fillId="12" borderId="33" xfId="0" applyFont="1" applyFill="1" applyBorder="1" applyAlignment="1">
      <alignment horizontal="center" vertical="center"/>
    </xf>
    <xf numFmtId="0" fontId="42" fillId="7" borderId="26" xfId="0" applyFont="1" applyFill="1" applyBorder="1" applyAlignment="1">
      <alignment horizontal="center" vertical="center" wrapText="1"/>
    </xf>
    <xf numFmtId="0" fontId="42" fillId="7" borderId="27" xfId="0" applyFont="1" applyFill="1" applyBorder="1" applyAlignment="1">
      <alignment horizontal="center" vertical="center" wrapText="1"/>
    </xf>
    <xf numFmtId="0" fontId="42" fillId="7" borderId="28" xfId="0" applyFont="1" applyFill="1" applyBorder="1" applyAlignment="1">
      <alignment horizontal="center" vertical="center" wrapText="1"/>
    </xf>
    <xf numFmtId="0" fontId="42" fillId="7" borderId="29" xfId="0" applyFont="1" applyFill="1" applyBorder="1" applyAlignment="1">
      <alignment horizontal="center" vertical="center" wrapText="1"/>
    </xf>
    <xf numFmtId="0" fontId="42" fillId="7" borderId="0" xfId="0" applyFont="1" applyFill="1" applyAlignment="1">
      <alignment horizontal="center" vertical="center" wrapText="1"/>
    </xf>
    <xf numFmtId="0" fontId="42" fillId="7" borderId="30" xfId="0" applyFont="1" applyFill="1" applyBorder="1" applyAlignment="1">
      <alignment horizontal="center" vertical="center" wrapText="1"/>
    </xf>
    <xf numFmtId="0" fontId="42" fillId="7" borderId="31" xfId="0" applyFont="1" applyFill="1" applyBorder="1" applyAlignment="1">
      <alignment horizontal="center" vertical="center" wrapText="1"/>
    </xf>
    <xf numFmtId="0" fontId="42" fillId="7" borderId="32" xfId="0" applyFont="1" applyFill="1" applyBorder="1" applyAlignment="1">
      <alignment horizontal="center" vertical="center" wrapText="1"/>
    </xf>
    <xf numFmtId="0" fontId="42" fillId="7" borderId="33" xfId="0" applyFont="1" applyFill="1" applyBorder="1" applyAlignment="1">
      <alignment horizontal="center" vertical="center" wrapText="1"/>
    </xf>
    <xf numFmtId="41" fontId="39" fillId="10" borderId="20" xfId="0" applyNumberFormat="1" applyFont="1" applyFill="1" applyBorder="1" applyAlignment="1">
      <alignment horizontal="center" vertical="center"/>
    </xf>
    <xf numFmtId="41" fontId="39" fillId="10" borderId="58" xfId="0" applyNumberFormat="1" applyFont="1" applyFill="1" applyBorder="1" applyAlignment="1">
      <alignment horizontal="center" vertical="center"/>
    </xf>
    <xf numFmtId="41" fontId="39" fillId="10" borderId="34" xfId="0" applyNumberFormat="1" applyFont="1" applyFill="1" applyBorder="1" applyAlignment="1">
      <alignment horizontal="center" vertical="center"/>
    </xf>
    <xf numFmtId="41" fontId="39" fillId="10" borderId="38" xfId="0" applyNumberFormat="1" applyFont="1" applyFill="1" applyBorder="1" applyAlignment="1">
      <alignment horizontal="center" vertical="center"/>
    </xf>
    <xf numFmtId="41" fontId="39" fillId="10" borderId="25" xfId="0" applyNumberFormat="1" applyFont="1" applyFill="1" applyBorder="1" applyAlignment="1">
      <alignment horizontal="center" vertical="center"/>
    </xf>
    <xf numFmtId="41" fontId="39" fillId="10" borderId="59" xfId="0" applyNumberFormat="1" applyFont="1" applyFill="1" applyBorder="1" applyAlignment="1">
      <alignment horizontal="center" vertical="center"/>
    </xf>
    <xf numFmtId="41" fontId="39" fillId="10" borderId="43" xfId="0" applyNumberFormat="1" applyFont="1" applyFill="1" applyBorder="1" applyAlignment="1">
      <alignment horizontal="center" vertical="center"/>
    </xf>
    <xf numFmtId="41" fontId="39" fillId="10" borderId="42" xfId="0" applyNumberFormat="1" applyFont="1" applyFill="1" applyBorder="1" applyAlignment="1">
      <alignment horizontal="center" vertical="center"/>
    </xf>
    <xf numFmtId="0" fontId="46" fillId="6" borderId="26" xfId="0" applyFont="1" applyFill="1" applyBorder="1" applyAlignment="1">
      <alignment horizontal="center" vertical="center"/>
    </xf>
    <xf numFmtId="0" fontId="46" fillId="6" borderId="31" xfId="0" applyFont="1" applyFill="1" applyBorder="1" applyAlignment="1">
      <alignment horizontal="center" vertical="center"/>
    </xf>
    <xf numFmtId="0" fontId="19" fillId="8" borderId="9" xfId="0" applyFont="1" applyFill="1" applyBorder="1" applyAlignment="1">
      <alignment horizontal="center" vertical="center"/>
    </xf>
    <xf numFmtId="0" fontId="19" fillId="8" borderId="10" xfId="0" applyFont="1" applyFill="1" applyBorder="1" applyAlignment="1">
      <alignment horizontal="center" vertical="center"/>
    </xf>
    <xf numFmtId="0" fontId="19" fillId="8" borderId="23" xfId="0" applyFont="1" applyFill="1" applyBorder="1" applyAlignment="1">
      <alignment horizontal="center" vertical="center"/>
    </xf>
    <xf numFmtId="0" fontId="19" fillId="8" borderId="11" xfId="0" applyFont="1" applyFill="1" applyBorder="1" applyAlignment="1">
      <alignment horizontal="center" vertical="center"/>
    </xf>
    <xf numFmtId="0" fontId="39" fillId="10" borderId="20" xfId="0" applyFont="1" applyFill="1" applyBorder="1" applyAlignment="1">
      <alignment horizontal="center" vertical="center"/>
    </xf>
    <xf numFmtId="0" fontId="39" fillId="10" borderId="58" xfId="0" applyFont="1" applyFill="1" applyBorder="1" applyAlignment="1">
      <alignment horizontal="center" vertical="center"/>
    </xf>
    <xf numFmtId="0" fontId="39" fillId="10" borderId="34" xfId="0" applyFont="1" applyFill="1" applyBorder="1" applyAlignment="1">
      <alignment horizontal="center" vertical="center"/>
    </xf>
    <xf numFmtId="0" fontId="39" fillId="10" borderId="38" xfId="0" applyFont="1" applyFill="1" applyBorder="1" applyAlignment="1">
      <alignment horizontal="center" vertical="center"/>
    </xf>
    <xf numFmtId="0" fontId="49" fillId="6" borderId="26" xfId="0" applyFont="1" applyFill="1" applyBorder="1" applyAlignment="1">
      <alignment horizontal="center" vertical="center"/>
    </xf>
    <xf numFmtId="0" fontId="49" fillId="6" borderId="28" xfId="0" applyFont="1" applyFill="1" applyBorder="1" applyAlignment="1">
      <alignment horizontal="center" vertical="center"/>
    </xf>
    <xf numFmtId="0" fontId="49" fillId="6" borderId="31" xfId="0" applyFont="1" applyFill="1" applyBorder="1" applyAlignment="1">
      <alignment horizontal="center" vertical="center"/>
    </xf>
    <xf numFmtId="0" fontId="49" fillId="6" borderId="33" xfId="0" applyFont="1" applyFill="1" applyBorder="1" applyAlignment="1">
      <alignment horizontal="center" vertical="center"/>
    </xf>
    <xf numFmtId="9" fontId="49" fillId="6" borderId="26" xfId="0" applyNumberFormat="1" applyFont="1" applyFill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57" xfId="0" applyFont="1" applyBorder="1" applyAlignment="1">
      <alignment horizontal="center" vertical="center"/>
    </xf>
    <xf numFmtId="0" fontId="48" fillId="0" borderId="10" xfId="0" applyFont="1" applyBorder="1" applyAlignment="1">
      <alignment horizontal="center" vertical="center"/>
    </xf>
    <xf numFmtId="0" fontId="48" fillId="0" borderId="45" xfId="0" applyFont="1" applyBorder="1" applyAlignment="1">
      <alignment horizontal="center" vertical="center"/>
    </xf>
    <xf numFmtId="0" fontId="48" fillId="0" borderId="60" xfId="0" applyFont="1" applyBorder="1" applyAlignment="1">
      <alignment horizontal="center" vertical="center"/>
    </xf>
    <xf numFmtId="0" fontId="48" fillId="0" borderId="44" xfId="0" applyFont="1" applyBorder="1" applyAlignment="1">
      <alignment horizontal="center" vertical="center"/>
    </xf>
    <xf numFmtId="0" fontId="48" fillId="0" borderId="11" xfId="0" applyFont="1" applyBorder="1" applyAlignment="1">
      <alignment horizontal="center" vertical="center"/>
    </xf>
    <xf numFmtId="0" fontId="48" fillId="0" borderId="46" xfId="0" applyFont="1" applyBorder="1" applyAlignment="1">
      <alignment horizontal="center" vertical="center"/>
    </xf>
    <xf numFmtId="41" fontId="42" fillId="0" borderId="11" xfId="0" applyNumberFormat="1" applyFont="1" applyBorder="1" applyAlignment="1">
      <alignment horizontal="center" vertical="center"/>
    </xf>
    <xf numFmtId="0" fontId="42" fillId="6" borderId="26" xfId="0" applyFont="1" applyFill="1" applyBorder="1" applyAlignment="1">
      <alignment horizontal="center" vertical="center"/>
    </xf>
    <xf numFmtId="0" fontId="42" fillId="6" borderId="31" xfId="0" applyFont="1" applyFill="1" applyBorder="1" applyAlignment="1">
      <alignment horizontal="center" vertical="center"/>
    </xf>
    <xf numFmtId="0" fontId="49" fillId="6" borderId="21" xfId="0" applyFont="1" applyFill="1" applyBorder="1" applyAlignment="1">
      <alignment horizontal="center" vertical="center"/>
    </xf>
    <xf numFmtId="0" fontId="49" fillId="6" borderId="22" xfId="0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9" fontId="42" fillId="0" borderId="61" xfId="0" applyNumberFormat="1" applyFont="1" applyBorder="1" applyAlignment="1">
      <alignment horizontal="center" vertical="center"/>
    </xf>
    <xf numFmtId="9" fontId="42" fillId="0" borderId="18" xfId="0" applyNumberFormat="1" applyFont="1" applyBorder="1" applyAlignment="1">
      <alignment horizontal="center" vertical="center"/>
    </xf>
    <xf numFmtId="41" fontId="42" fillId="0" borderId="61" xfId="0" applyNumberFormat="1" applyFont="1" applyBorder="1" applyAlignment="1">
      <alignment horizontal="center" vertical="center"/>
    </xf>
    <xf numFmtId="41" fontId="42" fillId="0" borderId="18" xfId="0" applyNumberFormat="1" applyFont="1" applyBorder="1" applyAlignment="1">
      <alignment horizontal="center" vertical="center"/>
    </xf>
    <xf numFmtId="0" fontId="48" fillId="0" borderId="103" xfId="0" applyFont="1" applyBorder="1" applyAlignment="1">
      <alignment horizontal="center" vertical="center"/>
    </xf>
    <xf numFmtId="0" fontId="48" fillId="0" borderId="104" xfId="0" applyFont="1" applyBorder="1" applyAlignment="1">
      <alignment horizontal="center" vertical="center"/>
    </xf>
    <xf numFmtId="0" fontId="48" fillId="0" borderId="105" xfId="0" applyFont="1" applyBorder="1" applyAlignment="1">
      <alignment horizontal="center" vertical="center"/>
    </xf>
    <xf numFmtId="0" fontId="48" fillId="0" borderId="62" xfId="0" applyFont="1" applyBorder="1" applyAlignment="1">
      <alignment horizontal="center" vertical="center"/>
    </xf>
    <xf numFmtId="0" fontId="48" fillId="0" borderId="41" xfId="0" applyFont="1" applyBorder="1" applyAlignment="1">
      <alignment horizontal="center" vertical="center"/>
    </xf>
    <xf numFmtId="0" fontId="48" fillId="0" borderId="106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7" fillId="3" borderId="65" xfId="0" applyFont="1" applyFill="1" applyBorder="1" applyAlignment="1">
      <alignment horizontal="center" vertical="center"/>
    </xf>
    <xf numFmtId="0" fontId="25" fillId="3" borderId="65" xfId="0" applyFont="1" applyFill="1" applyBorder="1" applyAlignment="1">
      <alignment horizontal="left" vertical="center"/>
    </xf>
    <xf numFmtId="0" fontId="57" fillId="3" borderId="65" xfId="0" applyFont="1" applyFill="1" applyBorder="1" applyAlignment="1">
      <alignment horizontal="left" vertical="center"/>
    </xf>
    <xf numFmtId="0" fontId="75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1" fontId="22" fillId="0" borderId="2" xfId="5" applyFont="1" applyBorder="1" applyAlignment="1">
      <alignment horizontal="center" vertical="center"/>
    </xf>
    <xf numFmtId="41" fontId="22" fillId="0" borderId="3" xfId="5" applyFont="1" applyBorder="1" applyAlignment="1">
      <alignment horizontal="center" vertical="center"/>
    </xf>
    <xf numFmtId="41" fontId="21" fillId="4" borderId="2" xfId="5" applyFont="1" applyFill="1" applyBorder="1" applyAlignment="1">
      <alignment horizontal="center" vertical="center"/>
    </xf>
    <xf numFmtId="41" fontId="21" fillId="4" borderId="3" xfId="5" applyFont="1" applyFill="1" applyBorder="1" applyAlignment="1">
      <alignment horizontal="center" vertical="center"/>
    </xf>
    <xf numFmtId="0" fontId="55" fillId="3" borderId="65" xfId="0" applyFont="1" applyFill="1" applyBorder="1" applyAlignment="1">
      <alignment horizontal="center" vertical="center"/>
    </xf>
    <xf numFmtId="0" fontId="8" fillId="3" borderId="65" xfId="0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1" fontId="7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8">
    <cellStyle name="백분율" xfId="2" builtinId="5"/>
    <cellStyle name="백분율 2" xfId="10" xr:uid="{3168B883-8825-413A-8F1C-A77D43D6258D}"/>
    <cellStyle name="쉼표 [0]" xfId="5" builtinId="6"/>
    <cellStyle name="쉼표 [0] 2" xfId="4" xr:uid="{C82B734C-D837-4A08-B1C4-A6BC6C794936}"/>
    <cellStyle name="쉼표 [0] 2 2" xfId="15" xr:uid="{87B53B8E-2D10-411D-8EEE-C3627416EAF2}"/>
    <cellStyle name="쉼표 [0] 2 3" xfId="12" xr:uid="{A7AEA6B8-F573-4278-85BB-AD48606FA80D}"/>
    <cellStyle name="쉼표 [0] 3" xfId="13" xr:uid="{3541024A-98B6-4526-9B1A-FD3B870167B8}"/>
    <cellStyle name="쉼표 [0] 4" xfId="16" xr:uid="{51FBE302-8A80-4C10-B0FC-0D5C44B8921A}"/>
    <cellStyle name="표준" xfId="0" builtinId="0"/>
    <cellStyle name="표준 2" xfId="1" xr:uid="{12DCD948-4E98-452C-B353-D28A7394E663}"/>
    <cellStyle name="표준 2 10" xfId="7" xr:uid="{EA947FA5-C6E2-48A3-8AD0-56CAD193C6C7}"/>
    <cellStyle name="표준 2 3" xfId="8" xr:uid="{22204BF1-E169-4366-BDAE-AF2E6A5644A5}"/>
    <cellStyle name="표준 3" xfId="3" xr:uid="{56E0341B-484D-4544-8CBF-29F592A4CBA2}"/>
    <cellStyle name="표준 3 2" xfId="14" xr:uid="{2F976782-C09C-4A29-94E7-F17897BA90A0}"/>
    <cellStyle name="표준 3 3" xfId="11" xr:uid="{2CE17A20-F6FB-415D-9864-43F34E5F3618}"/>
    <cellStyle name="표준 4" xfId="9" xr:uid="{64B1EA73-58AF-492C-8531-D0FD8D2FD209}"/>
    <cellStyle name="표준 5" xfId="6" xr:uid="{84FB4A6B-6229-47A3-B25E-F81B4683E54F}"/>
    <cellStyle name="하이퍼링크" xfId="17" builtinId="8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ADADF"/>
      <color rgb="FFEE1270"/>
      <color rgb="FFFA5D06"/>
      <color rgb="FFF095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microsoft.com/office/2023/09/relationships/Python" Target="pyth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emf"/><Relationship Id="rId2" Type="http://schemas.openxmlformats.org/officeDocument/2006/relationships/image" Target="../media/image10.emf"/><Relationship Id="rId1" Type="http://schemas.openxmlformats.org/officeDocument/2006/relationships/image" Target="../media/image9.png"/><Relationship Id="rId4" Type="http://schemas.openxmlformats.org/officeDocument/2006/relationships/image" Target="../media/image1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jpe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8.emf"/><Relationship Id="rId1" Type="http://schemas.openxmlformats.org/officeDocument/2006/relationships/image" Target="../media/image7.emf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192403</xdr:colOff>
      <xdr:row>6</xdr:row>
      <xdr:rowOff>133179</xdr:rowOff>
    </xdr:from>
    <xdr:to>
      <xdr:col>10</xdr:col>
      <xdr:colOff>17317</xdr:colOff>
      <xdr:row>9</xdr:row>
      <xdr:rowOff>136468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32F113FD-75ED-984D-3E7A-D3D388380864}"/>
            </a:ext>
          </a:extLst>
        </xdr:cNvPr>
        <xdr:cNvGrpSpPr/>
      </xdr:nvGrpSpPr>
      <xdr:grpSpPr>
        <a:xfrm>
          <a:off x="15397767" y="1622543"/>
          <a:ext cx="3409777" cy="730652"/>
          <a:chOff x="15387579" y="1657179"/>
          <a:chExt cx="3388385" cy="742877"/>
        </a:xfrm>
      </xdr:grpSpPr>
      <xdr:sp macro="" textlink="">
        <xdr:nvSpPr>
          <xdr:cNvPr id="3" name="화살표: 갈매기형 수장 2">
            <a:extLst>
              <a:ext uri="{FF2B5EF4-FFF2-40B4-BE49-F238E27FC236}">
                <a16:creationId xmlns:a16="http://schemas.microsoft.com/office/drawing/2014/main" id="{3E28E3C2-8974-4F03-90FF-078AC6FA4FB0}"/>
              </a:ext>
            </a:extLst>
          </xdr:cNvPr>
          <xdr:cNvSpPr/>
        </xdr:nvSpPr>
        <xdr:spPr>
          <a:xfrm rot="10800000">
            <a:off x="15387579" y="1674196"/>
            <a:ext cx="535718" cy="725860"/>
          </a:xfrm>
          <a:prstGeom prst="chevron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4BDD5E13-4BC0-A1AE-F205-598CDA650E57}"/>
              </a:ext>
            </a:extLst>
          </xdr:cNvPr>
          <xdr:cNvSpPr txBox="1"/>
        </xdr:nvSpPr>
        <xdr:spPr>
          <a:xfrm>
            <a:off x="16668611" y="1680184"/>
            <a:ext cx="2107353" cy="698452"/>
          </a:xfrm>
          <a:prstGeom prst="rect">
            <a:avLst/>
          </a:prstGeom>
          <a:solidFill>
            <a:srgbClr val="FF0000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ko-KR" altLang="en-US" sz="2800" b="1">
                <a:solidFill>
                  <a:schemeClr val="bg1"/>
                </a:solidFill>
              </a:rPr>
              <a:t>항시 주의</a:t>
            </a:r>
            <a:r>
              <a:rPr lang="en-US" altLang="ko-KR" sz="2800" b="1">
                <a:solidFill>
                  <a:schemeClr val="bg1"/>
                </a:solidFill>
              </a:rPr>
              <a:t>!!!</a:t>
            </a:r>
            <a:endParaRPr lang="ko-KR" altLang="en-US" sz="2800" b="1">
              <a:solidFill>
                <a:schemeClr val="bg1"/>
              </a:solidFill>
            </a:endParaRPr>
          </a:p>
        </xdr:txBody>
      </xdr:sp>
      <xdr:sp macro="" textlink="">
        <xdr:nvSpPr>
          <xdr:cNvPr id="5" name="화살표: 갈매기형 수장 4">
            <a:extLst>
              <a:ext uri="{FF2B5EF4-FFF2-40B4-BE49-F238E27FC236}">
                <a16:creationId xmlns:a16="http://schemas.microsoft.com/office/drawing/2014/main" id="{5A56F10E-24E9-4163-A416-127E6AB40598}"/>
              </a:ext>
            </a:extLst>
          </xdr:cNvPr>
          <xdr:cNvSpPr/>
        </xdr:nvSpPr>
        <xdr:spPr>
          <a:xfrm rot="10800000">
            <a:off x="15965931" y="1657179"/>
            <a:ext cx="569726" cy="741294"/>
          </a:xfrm>
          <a:prstGeom prst="chevron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2644990</xdr:colOff>
      <xdr:row>8</xdr:row>
      <xdr:rowOff>60725</xdr:rowOff>
    </xdr:from>
    <xdr:ext cx="376230" cy="394906"/>
    <xdr:pic>
      <xdr:nvPicPr>
        <xdr:cNvPr id="4" name="그림 3">
          <a:extLst>
            <a:ext uri="{FF2B5EF4-FFF2-40B4-BE49-F238E27FC236}">
              <a16:creationId xmlns:a16="http://schemas.microsoft.com/office/drawing/2014/main" id="{4FCF60D7-FAC3-4F1D-99A7-9DC7BB4483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13137" y="2257078"/>
          <a:ext cx="376230" cy="394906"/>
        </a:xfrm>
        <a:prstGeom prst="rect">
          <a:avLst/>
        </a:prstGeom>
      </xdr:spPr>
    </xdr:pic>
    <xdr:clientData/>
  </xdr:oneCellAnchor>
  <xdr:twoCellAnchor editAs="oneCell">
    <xdr:from>
      <xdr:col>7</xdr:col>
      <xdr:colOff>1094254</xdr:colOff>
      <xdr:row>2</xdr:row>
      <xdr:rowOff>4485</xdr:rowOff>
    </xdr:from>
    <xdr:to>
      <xdr:col>8</xdr:col>
      <xdr:colOff>554468</xdr:colOff>
      <xdr:row>3</xdr:row>
      <xdr:rowOff>129804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9DBA028-17C2-47DD-B6CF-3AD3D4915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7807" y="551332"/>
          <a:ext cx="2249582" cy="438523"/>
        </a:xfrm>
        <a:prstGeom prst="rect">
          <a:avLst/>
        </a:prstGeom>
      </xdr:spPr>
    </xdr:pic>
    <xdr:clientData/>
  </xdr:twoCellAnchor>
  <xdr:twoCellAnchor editAs="oneCell">
    <xdr:from>
      <xdr:col>1</xdr:col>
      <xdr:colOff>1029260</xdr:colOff>
      <xdr:row>1</xdr:row>
      <xdr:rowOff>210894</xdr:rowOff>
    </xdr:from>
    <xdr:to>
      <xdr:col>1</xdr:col>
      <xdr:colOff>1923864</xdr:colOff>
      <xdr:row>4</xdr:row>
      <xdr:rowOff>170469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1310B7AB-9678-4A28-805E-2C27920A0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4742" y="435012"/>
          <a:ext cx="894604" cy="939193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584611</xdr:colOff>
          <xdr:row>8</xdr:row>
          <xdr:rowOff>218402</xdr:rowOff>
        </xdr:from>
        <xdr:to>
          <xdr:col>4</xdr:col>
          <xdr:colOff>154305</xdr:colOff>
          <xdr:row>14</xdr:row>
          <xdr:rowOff>20954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2BEAA1B3-41B5-E0C3-BFDD-B06D3586D35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L$9:$M$13" spid="_x0000_s56059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976817" y="2414755"/>
              <a:ext cx="3887769" cy="12068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631339</xdr:colOff>
          <xdr:row>9</xdr:row>
          <xdr:rowOff>-1</xdr:rowOff>
        </xdr:from>
        <xdr:to>
          <xdr:col>7</xdr:col>
          <xdr:colOff>2764042</xdr:colOff>
          <xdr:row>14</xdr:row>
          <xdr:rowOff>0</xdr:rowOff>
        </xdr:to>
        <xdr:pic>
          <xdr:nvPicPr>
            <xdr:cNvPr id="6" name="그림 5">
              <a:extLst>
                <a:ext uri="{FF2B5EF4-FFF2-40B4-BE49-F238E27FC236}">
                  <a16:creationId xmlns:a16="http://schemas.microsoft.com/office/drawing/2014/main" id="{40A5D492-78FA-66CE-ECB1-FE66F1CF3B5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P$9:$P$13" spid="_x0000_s56060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5752427" y="2420470"/>
              <a:ext cx="3585882" cy="118782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2322084</xdr:colOff>
      <xdr:row>10</xdr:row>
      <xdr:rowOff>12139</xdr:rowOff>
    </xdr:from>
    <xdr:ext cx="438373" cy="460135"/>
    <xdr:pic>
      <xdr:nvPicPr>
        <xdr:cNvPr id="7" name="그림 6">
          <a:extLst>
            <a:ext uri="{FF2B5EF4-FFF2-40B4-BE49-F238E27FC236}">
              <a16:creationId xmlns:a16="http://schemas.microsoft.com/office/drawing/2014/main" id="{441B4E2F-86B4-4352-A200-B52AAA5E4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68172" y="2679139"/>
          <a:ext cx="438373" cy="460135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663053</xdr:colOff>
          <xdr:row>8</xdr:row>
          <xdr:rowOff>87742</xdr:rowOff>
        </xdr:from>
        <xdr:to>
          <xdr:col>4</xdr:col>
          <xdr:colOff>94523</xdr:colOff>
          <xdr:row>14</xdr:row>
          <xdr:rowOff>22411</xdr:rowOff>
        </xdr:to>
        <xdr:pic>
          <xdr:nvPicPr>
            <xdr:cNvPr id="8" name="그림 7">
              <a:extLst>
                <a:ext uri="{FF2B5EF4-FFF2-40B4-BE49-F238E27FC236}">
                  <a16:creationId xmlns:a16="http://schemas.microsoft.com/office/drawing/2014/main" id="{A4B926CC-3F8F-7828-9DC7-A9E5434A45A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K$11:$L$15" spid="_x0000_s80123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055259" y="2284095"/>
              <a:ext cx="3764336" cy="135804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268939</xdr:colOff>
          <xdr:row>8</xdr:row>
          <xdr:rowOff>104662</xdr:rowOff>
        </xdr:from>
        <xdr:to>
          <xdr:col>8</xdr:col>
          <xdr:colOff>932412</xdr:colOff>
          <xdr:row>13</xdr:row>
          <xdr:rowOff>208876</xdr:rowOff>
        </xdr:to>
        <xdr:pic>
          <xdr:nvPicPr>
            <xdr:cNvPr id="9" name="그림 8">
              <a:extLst>
                <a:ext uri="{FF2B5EF4-FFF2-40B4-BE49-F238E27FC236}">
                  <a16:creationId xmlns:a16="http://schemas.microsoft.com/office/drawing/2014/main" id="{C6BBF362-FF5F-FAC0-9CC8-BD31415330E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N$11:$N$15" spid="_x0000_s8012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602939" y="2301015"/>
              <a:ext cx="3513577" cy="129035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986117</xdr:colOff>
      <xdr:row>1</xdr:row>
      <xdr:rowOff>145676</xdr:rowOff>
    </xdr:from>
    <xdr:to>
      <xdr:col>1</xdr:col>
      <xdr:colOff>1882626</xdr:colOff>
      <xdr:row>4</xdr:row>
      <xdr:rowOff>97632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42DAD7C-9A1C-43E3-807A-F662B8A6E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8323" y="470647"/>
          <a:ext cx="900319" cy="93448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108856</xdr:rowOff>
    </xdr:from>
    <xdr:to>
      <xdr:col>1</xdr:col>
      <xdr:colOff>543415</xdr:colOff>
      <xdr:row>1</xdr:row>
      <xdr:rowOff>173300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45FD39-9329-9748-63DB-F82120F3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6314" y="108856"/>
          <a:ext cx="543415" cy="543415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>
        <a:ln w="12700">
          <a:solidFill>
            <a:srgbClr val="FF0000"/>
          </a:solidFill>
          <a:headEnd type="triangle"/>
          <a:tailEnd type="triangle"/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topdi@topdignus.co.kr" TargetMode="External"/><Relationship Id="rId1" Type="http://schemas.openxmlformats.org/officeDocument/2006/relationships/hyperlink" Target="mailto:pl3077@naver.com" TargetMode="Externa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B79D2-922D-4351-AA73-4C4DAEEE856C}">
  <sheetPr codeName="Sheet1">
    <tabColor theme="4" tint="0.39997558519241921"/>
  </sheetPr>
  <dimension ref="A1:AB364"/>
  <sheetViews>
    <sheetView zoomScale="85" zoomScaleNormal="85" zoomScaleSheetLayoutView="50" workbookViewId="0">
      <pane ySplit="8" topLeftCell="A140" activePane="bottomLeft" state="frozen"/>
      <selection pane="bottomLeft" activeCell="E364" sqref="E9:E364"/>
    </sheetView>
  </sheetViews>
  <sheetFormatPr defaultRowHeight="16.5"/>
  <cols>
    <col min="1" max="1" width="9" style="7"/>
    <col min="2" max="2" width="27.625" customWidth="1"/>
    <col min="3" max="3" width="28.625" bestFit="1" customWidth="1"/>
    <col min="4" max="4" width="33" bestFit="1" customWidth="1"/>
    <col min="5" max="7" width="12.625" style="25" customWidth="1"/>
    <col min="8" max="8" width="35.25" style="25" bestFit="1" customWidth="1"/>
    <col min="9" max="9" width="14.875" style="67" bestFit="1" customWidth="1"/>
    <col min="10" max="10" width="14.875" style="358" customWidth="1"/>
    <col min="11" max="11" width="14.875" style="67" customWidth="1"/>
    <col min="12" max="12" width="14.875" style="103" customWidth="1"/>
    <col min="13" max="13" width="14.875" style="17" customWidth="1"/>
    <col min="14" max="14" width="18.125" style="17" bestFit="1" customWidth="1"/>
    <col min="15" max="15" width="12.125" customWidth="1"/>
    <col min="16" max="16" width="24" customWidth="1"/>
    <col min="17" max="17" width="40.375" style="7" customWidth="1"/>
    <col min="18" max="18" width="21.25" customWidth="1"/>
    <col min="19" max="19" width="24.875" customWidth="1"/>
    <col min="20" max="20" width="11.75" bestFit="1" customWidth="1"/>
    <col min="21" max="21" width="19" bestFit="1" customWidth="1"/>
    <col min="22" max="22" width="12" bestFit="1" customWidth="1"/>
    <col min="23" max="23" width="12.125" bestFit="1" customWidth="1"/>
    <col min="24" max="24" width="20" bestFit="1" customWidth="1"/>
    <col min="25" max="25" width="35.25" bestFit="1" customWidth="1"/>
    <col min="26" max="26" width="9.875" bestFit="1" customWidth="1"/>
    <col min="27" max="28" width="12.375" bestFit="1" customWidth="1"/>
  </cols>
  <sheetData>
    <row r="1" spans="1:28" ht="17.25" thickBot="1">
      <c r="B1" t="s">
        <v>452</v>
      </c>
    </row>
    <row r="2" spans="1:28" ht="17.45" customHeight="1" thickBot="1">
      <c r="B2" s="613" t="e" vm="1">
        <v>#VALUE!</v>
      </c>
      <c r="C2" s="616" t="s">
        <v>76</v>
      </c>
      <c r="D2" s="617" t="s">
        <v>450</v>
      </c>
      <c r="E2" s="618"/>
      <c r="F2" s="618"/>
      <c r="G2" s="619"/>
      <c r="H2" s="667" t="s">
        <v>374</v>
      </c>
      <c r="I2" s="648" t="s">
        <v>77</v>
      </c>
      <c r="J2" s="648"/>
      <c r="K2" s="648"/>
      <c r="L2" s="648"/>
      <c r="M2" s="648"/>
      <c r="N2" s="648"/>
      <c r="O2" s="648"/>
      <c r="P2" s="648"/>
      <c r="Q2" s="80"/>
      <c r="R2" s="469" t="s">
        <v>449</v>
      </c>
      <c r="S2" s="470" t="s">
        <v>374</v>
      </c>
      <c r="T2" s="54"/>
      <c r="U2" s="469" t="s">
        <v>409</v>
      </c>
      <c r="V2" s="470" t="s">
        <v>449</v>
      </c>
    </row>
    <row r="3" spans="1:28" ht="18" customHeight="1" thickBot="1">
      <c r="B3" s="614"/>
      <c r="C3" s="616"/>
      <c r="D3" s="620"/>
      <c r="E3" s="621"/>
      <c r="F3" s="621"/>
      <c r="G3" s="622"/>
      <c r="H3" s="668"/>
      <c r="I3" s="648"/>
      <c r="J3" s="648"/>
      <c r="K3" s="648"/>
      <c r="L3" s="648"/>
      <c r="M3" s="648"/>
      <c r="N3" s="648"/>
      <c r="O3" s="648"/>
      <c r="P3" s="648"/>
      <c r="Q3" s="80"/>
      <c r="R3" s="323" t="s">
        <v>371</v>
      </c>
      <c r="S3" s="326">
        <v>0.55000000000000004</v>
      </c>
      <c r="U3" s="323" t="s">
        <v>407</v>
      </c>
      <c r="V3" s="466" t="s">
        <v>372</v>
      </c>
    </row>
    <row r="4" spans="1:28" ht="18" customHeight="1" thickBot="1">
      <c r="B4" s="614"/>
      <c r="C4" s="623">
        <v>2</v>
      </c>
      <c r="D4" s="624" t="s">
        <v>451</v>
      </c>
      <c r="E4" s="624"/>
      <c r="F4" s="624"/>
      <c r="G4" s="625"/>
      <c r="H4" s="665">
        <f>VLOOKUP(VLOOKUP($D$4, $U$3:$V$5, 2, FALSE), $R$3:$S$5, 2, FALSE)</f>
        <v>0.56999999999999995</v>
      </c>
      <c r="I4" s="592">
        <f>(G10-E10)/G10</f>
        <v>0.12236286919831224</v>
      </c>
      <c r="J4" s="593"/>
      <c r="K4" s="593"/>
      <c r="L4" s="593"/>
      <c r="M4" s="593"/>
      <c r="N4" s="593"/>
      <c r="O4" s="594" t="e">
        <f>I4*100/#REF!</f>
        <v>#REF!</v>
      </c>
      <c r="P4" s="595" t="e">
        <f>O4*100/#REF!</f>
        <v>#REF!</v>
      </c>
      <c r="Q4" s="81"/>
      <c r="R4" s="324" t="s">
        <v>372</v>
      </c>
      <c r="S4" s="327">
        <v>0.56999999999999995</v>
      </c>
      <c r="U4" s="324" t="s">
        <v>408</v>
      </c>
      <c r="V4" s="467" t="s">
        <v>371</v>
      </c>
    </row>
    <row r="5" spans="1:28" ht="18" customHeight="1" thickBot="1">
      <c r="B5" s="615"/>
      <c r="C5" s="616"/>
      <c r="D5" s="626"/>
      <c r="E5" s="626"/>
      <c r="F5" s="626"/>
      <c r="G5" s="627"/>
      <c r="H5" s="666"/>
      <c r="I5" s="596" t="e">
        <f>G5*100/#REF!</f>
        <v>#REF!</v>
      </c>
      <c r="J5" s="597"/>
      <c r="K5" s="597"/>
      <c r="L5" s="597"/>
      <c r="M5" s="597"/>
      <c r="N5" s="597"/>
      <c r="O5" s="597" t="e">
        <f>I5*100/#REF!</f>
        <v>#REF!</v>
      </c>
      <c r="P5" s="598" t="e">
        <f>O5*100/#REF!</f>
        <v>#REF!</v>
      </c>
      <c r="Q5" s="81"/>
      <c r="R5" s="325" t="s">
        <v>373</v>
      </c>
      <c r="S5" s="328">
        <v>0.67</v>
      </c>
      <c r="U5" s="325" t="s">
        <v>373</v>
      </c>
      <c r="V5" s="468" t="s">
        <v>373</v>
      </c>
    </row>
    <row r="6" spans="1:28" ht="17.25" thickBot="1">
      <c r="I6" s="645" t="s">
        <v>112</v>
      </c>
      <c r="J6" s="646"/>
      <c r="K6" s="646"/>
      <c r="L6" s="646"/>
      <c r="M6" s="647"/>
      <c r="N6" s="442"/>
    </row>
    <row r="7" spans="1:28" ht="18" customHeight="1" thickBot="1">
      <c r="A7" s="580" t="s">
        <v>410</v>
      </c>
      <c r="B7" s="636" t="s">
        <v>39</v>
      </c>
      <c r="C7" s="636" t="s">
        <v>40</v>
      </c>
      <c r="D7" s="636"/>
      <c r="E7" s="638" t="s">
        <v>52</v>
      </c>
      <c r="F7" s="628" t="s">
        <v>76</v>
      </c>
      <c r="G7" s="628" t="s">
        <v>70</v>
      </c>
      <c r="H7" s="628" t="s">
        <v>101</v>
      </c>
      <c r="I7" s="77" t="s">
        <v>41</v>
      </c>
      <c r="J7" s="578" t="s">
        <v>413</v>
      </c>
      <c r="K7" s="632" t="s">
        <v>109</v>
      </c>
      <c r="L7" s="630" t="s">
        <v>104</v>
      </c>
      <c r="M7" s="634" t="s">
        <v>110</v>
      </c>
      <c r="N7" s="634" t="s">
        <v>439</v>
      </c>
      <c r="O7" s="639" t="s">
        <v>28</v>
      </c>
      <c r="P7" s="640"/>
      <c r="Q7" s="610" t="s">
        <v>91</v>
      </c>
    </row>
    <row r="8" spans="1:28" ht="17.25" thickBot="1">
      <c r="A8" s="581"/>
      <c r="B8" s="637"/>
      <c r="C8" s="147" t="s">
        <v>42</v>
      </c>
      <c r="D8" s="147" t="s">
        <v>43</v>
      </c>
      <c r="E8" s="638"/>
      <c r="F8" s="629"/>
      <c r="G8" s="629"/>
      <c r="H8" s="629"/>
      <c r="I8" s="148" t="s">
        <v>44</v>
      </c>
      <c r="J8" s="579"/>
      <c r="K8" s="633"/>
      <c r="L8" s="631"/>
      <c r="M8" s="635"/>
      <c r="N8" s="635"/>
      <c r="O8" s="641"/>
      <c r="P8" s="642"/>
      <c r="Q8" s="610"/>
      <c r="R8" s="607" t="s">
        <v>105</v>
      </c>
      <c r="S8" s="607"/>
      <c r="T8" s="607"/>
    </row>
    <row r="9" spans="1:28">
      <c r="A9" s="493">
        <v>1</v>
      </c>
      <c r="B9" s="471" t="s">
        <v>55</v>
      </c>
      <c r="C9" s="150" t="s">
        <v>188</v>
      </c>
      <c r="D9" s="151" t="s">
        <v>46</v>
      </c>
      <c r="E9" s="152">
        <v>2080</v>
      </c>
      <c r="F9" s="153">
        <f t="shared" ref="F9:F72" si="0">E9*$C$4</f>
        <v>4160</v>
      </c>
      <c r="G9" s="153">
        <f>FLOOR(F9*$H$4,10)</f>
        <v>2370</v>
      </c>
      <c r="H9" s="154"/>
      <c r="I9" s="155"/>
      <c r="J9" s="359"/>
      <c r="K9" s="155"/>
      <c r="L9" s="156"/>
      <c r="M9" s="157"/>
      <c r="N9" s="443"/>
      <c r="O9" s="643"/>
      <c r="P9" s="644"/>
      <c r="Q9" s="12" t="str">
        <f t="shared" ref="Q9:Q72" si="1">B9&amp;"|"&amp;C9&amp;"|"&amp;D9</f>
        <v>입상_SU_고정틀|입상_SU_고정틀_20A|75A</v>
      </c>
      <c r="R9" t="s">
        <v>109</v>
      </c>
      <c r="S9" t="s">
        <v>104</v>
      </c>
      <c r="T9" t="s">
        <v>110</v>
      </c>
    </row>
    <row r="10" spans="1:28" s="45" customFormat="1">
      <c r="A10" s="494">
        <f>A9+1</f>
        <v>2</v>
      </c>
      <c r="B10" s="472" t="s">
        <v>56</v>
      </c>
      <c r="C10" s="158" t="s">
        <v>189</v>
      </c>
      <c r="D10" s="130" t="s">
        <v>46</v>
      </c>
      <c r="E10" s="131">
        <v>2080</v>
      </c>
      <c r="F10" s="120">
        <f t="shared" si="0"/>
        <v>4160</v>
      </c>
      <c r="G10" s="120">
        <f t="shared" ref="G10:G73" si="2">FLOOR(F10*$H$4,10)</f>
        <v>2370</v>
      </c>
      <c r="H10" s="121"/>
      <c r="I10" s="159"/>
      <c r="J10" s="360"/>
      <c r="K10" s="160"/>
      <c r="L10" s="161"/>
      <c r="M10" s="162"/>
      <c r="N10" s="444"/>
      <c r="O10" s="582"/>
      <c r="P10" s="583"/>
      <c r="Q10" s="12" t="str">
        <f t="shared" si="1"/>
        <v>입상_SU_고정틀|입상_SU_고정틀_25A|75A</v>
      </c>
      <c r="R10" s="107">
        <f>FLOOR(($I23 / RIGHT($H23, LEN($H23) - FIND("@", SUBSTITUTE($H23, "*", "@", 2)))) * VLOOKUP($H23, $C$255:$G$259, 5, FALSE), 1)</f>
        <v>763</v>
      </c>
      <c r="S10" s="104" cm="1">
        <f t="array" ref="S10">TRUNC(
  IF(ISNUMBER(SEARCH("대구경 인정서",$O23)),
    _xlfn.LET(
      _xlpm.size, VALUE(SUBSTITUTE(MID($C23, FIND("_",$C23, LEN($C23)-5)+1, LEN($C23)), "A","")),
      _xlpm.base_val, _xlfn.IFS(_xlpm.size&lt;=50, 1/6, _xlpm.size&lt;=100, 1/4, _xlpm.size&lt;=150, 1/3, _xlpm.size&lt;=200, 1/2, TRUE, 0),
      IF(ISNUMBER(SEARCH("벽체", $C23)), _xlpm.base_val * 2, _xlpm.base_val)
    ),
  0),
2)</f>
        <v>0.16</v>
      </c>
      <c r="T10" s="107">
        <f>FLOOR($L23 * $G$262,1)</f>
        <v>691</v>
      </c>
      <c r="U10" s="590" t="str">
        <f>IF($H23="38T*400*4800","대구경 인정서","")</f>
        <v>대구경 인정서</v>
      </c>
      <c r="V10" s="591"/>
      <c r="X10"/>
      <c r="Y10"/>
      <c r="Z10"/>
      <c r="AA10"/>
      <c r="AB10"/>
    </row>
    <row r="11" spans="1:28">
      <c r="A11" s="494">
        <f t="shared" ref="A11:A74" si="3">A10+1</f>
        <v>3</v>
      </c>
      <c r="B11" s="473" t="s">
        <v>55</v>
      </c>
      <c r="C11" s="163" t="s">
        <v>190</v>
      </c>
      <c r="D11" s="36" t="s">
        <v>46</v>
      </c>
      <c r="E11" s="131">
        <v>2080</v>
      </c>
      <c r="F11" s="120">
        <f t="shared" si="0"/>
        <v>4160</v>
      </c>
      <c r="G11" s="120">
        <f t="shared" si="2"/>
        <v>2370</v>
      </c>
      <c r="H11" s="121"/>
      <c r="I11" s="164"/>
      <c r="J11" s="361"/>
      <c r="K11" s="165"/>
      <c r="L11" s="166"/>
      <c r="M11" s="167"/>
      <c r="N11" s="445"/>
      <c r="O11" s="582"/>
      <c r="P11" s="583"/>
      <c r="Q11" s="12" t="str">
        <f t="shared" si="1"/>
        <v>입상_SU_고정틀|입상_SU_고정틀_30A|75A</v>
      </c>
    </row>
    <row r="12" spans="1:28">
      <c r="A12" s="494">
        <f t="shared" si="3"/>
        <v>4</v>
      </c>
      <c r="B12" s="473" t="s">
        <v>55</v>
      </c>
      <c r="C12" s="163" t="s">
        <v>191</v>
      </c>
      <c r="D12" s="36" t="s">
        <v>46</v>
      </c>
      <c r="E12" s="131">
        <v>2080</v>
      </c>
      <c r="F12" s="120">
        <f t="shared" si="0"/>
        <v>4160</v>
      </c>
      <c r="G12" s="120">
        <f t="shared" si="2"/>
        <v>2370</v>
      </c>
      <c r="H12" s="121"/>
      <c r="I12" s="164"/>
      <c r="J12" s="361"/>
      <c r="K12" s="165"/>
      <c r="L12" s="166"/>
      <c r="M12" s="167"/>
      <c r="N12" s="445"/>
      <c r="O12" s="582"/>
      <c r="P12" s="583"/>
      <c r="Q12" s="12" t="str">
        <f t="shared" si="1"/>
        <v>입상_SU_고정틀|입상_SU_고정틀_40A|75A</v>
      </c>
    </row>
    <row r="13" spans="1:28">
      <c r="A13" s="494">
        <f t="shared" si="3"/>
        <v>5</v>
      </c>
      <c r="B13" s="473" t="s">
        <v>55</v>
      </c>
      <c r="C13" s="163" t="s">
        <v>191</v>
      </c>
      <c r="D13" s="36" t="s">
        <v>47</v>
      </c>
      <c r="E13" s="131">
        <v>2080</v>
      </c>
      <c r="F13" s="120">
        <f t="shared" si="0"/>
        <v>4160</v>
      </c>
      <c r="G13" s="120">
        <f t="shared" si="2"/>
        <v>2370</v>
      </c>
      <c r="H13" s="121"/>
      <c r="I13" s="164"/>
      <c r="J13" s="361"/>
      <c r="K13" s="165"/>
      <c r="L13" s="166"/>
      <c r="M13" s="167"/>
      <c r="N13" s="445"/>
      <c r="O13" s="582"/>
      <c r="P13" s="583"/>
      <c r="Q13" s="12" t="str">
        <f t="shared" si="1"/>
        <v>입상_SU_고정틀|입상_SU_고정틀_40A|100A</v>
      </c>
    </row>
    <row r="14" spans="1:28">
      <c r="A14" s="494">
        <f t="shared" si="3"/>
        <v>6</v>
      </c>
      <c r="B14" s="473" t="s">
        <v>55</v>
      </c>
      <c r="C14" s="163" t="s">
        <v>192</v>
      </c>
      <c r="D14" s="36" t="s">
        <v>46</v>
      </c>
      <c r="E14" s="131">
        <v>2090</v>
      </c>
      <c r="F14" s="120">
        <f t="shared" si="0"/>
        <v>4180</v>
      </c>
      <c r="G14" s="120">
        <f t="shared" si="2"/>
        <v>2380</v>
      </c>
      <c r="H14" s="121"/>
      <c r="I14" s="164"/>
      <c r="J14" s="361"/>
      <c r="K14" s="165"/>
      <c r="L14" s="166"/>
      <c r="M14" s="167"/>
      <c r="N14" s="445"/>
      <c r="O14" s="582"/>
      <c r="P14" s="583"/>
      <c r="Q14" s="12" t="str">
        <f t="shared" si="1"/>
        <v>입상_SU_고정틀|입상_SU_고정틀_50A|75A</v>
      </c>
    </row>
    <row r="15" spans="1:28">
      <c r="A15" s="494">
        <f t="shared" si="3"/>
        <v>7</v>
      </c>
      <c r="B15" s="473" t="s">
        <v>55</v>
      </c>
      <c r="C15" s="163" t="s">
        <v>192</v>
      </c>
      <c r="D15" s="36" t="s">
        <v>47</v>
      </c>
      <c r="E15" s="131">
        <v>2080</v>
      </c>
      <c r="F15" s="120">
        <f t="shared" si="0"/>
        <v>4160</v>
      </c>
      <c r="G15" s="120">
        <f t="shared" si="2"/>
        <v>2370</v>
      </c>
      <c r="H15" s="121"/>
      <c r="I15" s="164"/>
      <c r="J15" s="361"/>
      <c r="K15" s="165"/>
      <c r="L15" s="166"/>
      <c r="M15" s="167"/>
      <c r="N15" s="445"/>
      <c r="O15" s="582"/>
      <c r="P15" s="583"/>
      <c r="Q15" s="12" t="str">
        <f t="shared" si="1"/>
        <v>입상_SU_고정틀|입상_SU_고정틀_50A|100A</v>
      </c>
    </row>
    <row r="16" spans="1:28">
      <c r="A16" s="494">
        <f t="shared" si="3"/>
        <v>8</v>
      </c>
      <c r="B16" s="473" t="s">
        <v>55</v>
      </c>
      <c r="C16" s="163" t="s">
        <v>192</v>
      </c>
      <c r="D16" s="36" t="s">
        <v>48</v>
      </c>
      <c r="E16" s="131">
        <v>2340</v>
      </c>
      <c r="F16" s="120">
        <f t="shared" si="0"/>
        <v>4680</v>
      </c>
      <c r="G16" s="120">
        <f t="shared" si="2"/>
        <v>2660</v>
      </c>
      <c r="H16" s="121"/>
      <c r="I16" s="164"/>
      <c r="J16" s="361"/>
      <c r="K16" s="165"/>
      <c r="L16" s="166"/>
      <c r="M16" s="167"/>
      <c r="N16" s="446"/>
      <c r="O16" s="605"/>
      <c r="P16" s="606"/>
      <c r="Q16" s="12" t="str">
        <f t="shared" si="1"/>
        <v>입상_SU_고정틀|입상_SU_고정틀_50A|125A</v>
      </c>
    </row>
    <row r="17" spans="1:21">
      <c r="A17" s="494">
        <f t="shared" si="3"/>
        <v>9</v>
      </c>
      <c r="B17" s="473" t="s">
        <v>55</v>
      </c>
      <c r="C17" s="163" t="s">
        <v>193</v>
      </c>
      <c r="D17" s="98" t="s">
        <v>46</v>
      </c>
      <c r="E17" s="135">
        <v>2080</v>
      </c>
      <c r="F17" s="129">
        <f t="shared" si="0"/>
        <v>4160</v>
      </c>
      <c r="G17" s="129">
        <f t="shared" si="2"/>
        <v>2370</v>
      </c>
      <c r="H17" s="121"/>
      <c r="I17" s="165"/>
      <c r="J17" s="361"/>
      <c r="K17" s="165"/>
      <c r="L17" s="166"/>
      <c r="M17" s="167"/>
      <c r="N17" s="445"/>
      <c r="O17" s="582"/>
      <c r="P17" s="583"/>
      <c r="Q17" s="12" t="str">
        <f t="shared" si="1"/>
        <v>입상_SU_고정틀|입상_SU_고정틀_60A|75A</v>
      </c>
    </row>
    <row r="18" spans="1:21">
      <c r="A18" s="494">
        <f t="shared" si="3"/>
        <v>10</v>
      </c>
      <c r="B18" s="473" t="s">
        <v>55</v>
      </c>
      <c r="C18" s="163" t="s">
        <v>193</v>
      </c>
      <c r="D18" s="36" t="s">
        <v>47</v>
      </c>
      <c r="E18" s="131">
        <v>2080</v>
      </c>
      <c r="F18" s="120">
        <f t="shared" si="0"/>
        <v>4160</v>
      </c>
      <c r="G18" s="120">
        <f t="shared" si="2"/>
        <v>2370</v>
      </c>
      <c r="H18" s="121"/>
      <c r="I18" s="164"/>
      <c r="J18" s="361"/>
      <c r="K18" s="165"/>
      <c r="L18" s="166"/>
      <c r="M18" s="167"/>
      <c r="N18" s="445"/>
      <c r="O18" s="582"/>
      <c r="P18" s="583"/>
      <c r="Q18" s="12" t="str">
        <f t="shared" si="1"/>
        <v>입상_SU_고정틀|입상_SU_고정틀_60A|100A</v>
      </c>
    </row>
    <row r="19" spans="1:21">
      <c r="A19" s="494">
        <f t="shared" si="3"/>
        <v>11</v>
      </c>
      <c r="B19" s="473" t="s">
        <v>55</v>
      </c>
      <c r="C19" s="163" t="s">
        <v>193</v>
      </c>
      <c r="D19" s="36" t="s">
        <v>48</v>
      </c>
      <c r="E19" s="131">
        <v>2600</v>
      </c>
      <c r="F19" s="120">
        <f t="shared" si="0"/>
        <v>5200</v>
      </c>
      <c r="G19" s="120">
        <f t="shared" si="2"/>
        <v>2960</v>
      </c>
      <c r="H19" s="121"/>
      <c r="I19" s="164"/>
      <c r="J19" s="361"/>
      <c r="K19" s="165"/>
      <c r="L19" s="166"/>
      <c r="M19" s="167"/>
      <c r="N19" s="445"/>
      <c r="O19" s="582"/>
      <c r="P19" s="583"/>
      <c r="Q19" s="12" t="str">
        <f t="shared" si="1"/>
        <v>입상_SU_고정틀|입상_SU_고정틀_60A|125A</v>
      </c>
    </row>
    <row r="20" spans="1:21">
      <c r="A20" s="494">
        <f t="shared" si="3"/>
        <v>12</v>
      </c>
      <c r="B20" s="473" t="s">
        <v>55</v>
      </c>
      <c r="C20" s="163" t="s">
        <v>194</v>
      </c>
      <c r="D20" s="98" t="s">
        <v>47</v>
      </c>
      <c r="E20" s="135">
        <v>2340</v>
      </c>
      <c r="F20" s="129">
        <f t="shared" si="0"/>
        <v>4680</v>
      </c>
      <c r="G20" s="129">
        <f t="shared" si="2"/>
        <v>2660</v>
      </c>
      <c r="H20" s="121"/>
      <c r="I20" s="165"/>
      <c r="J20" s="361"/>
      <c r="K20" s="165"/>
      <c r="L20" s="166"/>
      <c r="M20" s="167"/>
      <c r="N20" s="445"/>
      <c r="O20" s="582"/>
      <c r="P20" s="583"/>
      <c r="Q20" s="12" t="str">
        <f t="shared" si="1"/>
        <v>입상_SU_고정틀|입상_SU_고정틀_80A|100A</v>
      </c>
    </row>
    <row r="21" spans="1:21">
      <c r="A21" s="494">
        <f t="shared" si="3"/>
        <v>13</v>
      </c>
      <c r="B21" s="473" t="s">
        <v>55</v>
      </c>
      <c r="C21" s="163" t="s">
        <v>194</v>
      </c>
      <c r="D21" s="98" t="s">
        <v>48</v>
      </c>
      <c r="E21" s="135">
        <v>2340</v>
      </c>
      <c r="F21" s="129">
        <f t="shared" si="0"/>
        <v>4680</v>
      </c>
      <c r="G21" s="129">
        <f t="shared" si="2"/>
        <v>2660</v>
      </c>
      <c r="H21" s="121"/>
      <c r="I21" s="165"/>
      <c r="J21" s="361"/>
      <c r="K21" s="165"/>
      <c r="L21" s="166"/>
      <c r="M21" s="167"/>
      <c r="N21" s="445"/>
      <c r="O21" s="582"/>
      <c r="P21" s="583"/>
      <c r="Q21" s="12" t="str">
        <f t="shared" si="1"/>
        <v>입상_SU_고정틀|입상_SU_고정틀_80A|125A</v>
      </c>
    </row>
    <row r="22" spans="1:21">
      <c r="A22" s="494">
        <f t="shared" si="3"/>
        <v>14</v>
      </c>
      <c r="B22" s="473" t="s">
        <v>55</v>
      </c>
      <c r="C22" s="163" t="s">
        <v>194</v>
      </c>
      <c r="D22" s="98" t="s">
        <v>49</v>
      </c>
      <c r="E22" s="135">
        <v>2340</v>
      </c>
      <c r="F22" s="129">
        <f t="shared" si="0"/>
        <v>4680</v>
      </c>
      <c r="G22" s="129">
        <f t="shared" si="2"/>
        <v>2660</v>
      </c>
      <c r="H22" s="121"/>
      <c r="I22" s="165"/>
      <c r="J22" s="361"/>
      <c r="K22" s="165"/>
      <c r="L22" s="166"/>
      <c r="M22" s="167"/>
      <c r="N22" s="445"/>
      <c r="O22" s="582"/>
      <c r="P22" s="583"/>
      <c r="Q22" s="12" t="str">
        <f t="shared" si="1"/>
        <v>입상_SU_고정틀|입상_SU_고정틀_80A|150A</v>
      </c>
    </row>
    <row r="23" spans="1:21" ht="17.100000000000001" customHeight="1">
      <c r="A23" s="494">
        <f t="shared" si="3"/>
        <v>15</v>
      </c>
      <c r="B23" s="474" t="s">
        <v>58</v>
      </c>
      <c r="C23" s="168" t="s">
        <v>195</v>
      </c>
      <c r="D23" s="51" t="s">
        <v>45</v>
      </c>
      <c r="E23" s="169">
        <v>3010</v>
      </c>
      <c r="F23" s="170">
        <f t="shared" si="0"/>
        <v>6020</v>
      </c>
      <c r="G23" s="170">
        <f t="shared" si="2"/>
        <v>3430</v>
      </c>
      <c r="H23" s="171" t="s">
        <v>113</v>
      </c>
      <c r="I23" s="172">
        <v>66.900000000000006</v>
      </c>
      <c r="J23" s="357">
        <f>I23 / RIGHT(H23, LEN(H23)-FIND("@", SUBSTITUTE(H23, "*", "@", LEN(H23)-LEN(SUBSTITUTE(H23, "*", "")))))</f>
        <v>1.3937500000000002E-2</v>
      </c>
      <c r="K23" s="173">
        <f t="shared" ref="K23:K68" si="4">FLOOR(($I23 / RIGHT($H23, LEN($H23) - FIND("@", SUBSTITUTE($H23, "*", "@", 2)))) * VLOOKUP($H23, $C$255:$G$259, 5, FALSE), 1)</f>
        <v>763</v>
      </c>
      <c r="L23" s="174" cm="1">
        <f t="array" ref="L23">TRUNC(
  IF(ISNUMBER(SEARCH("대구경 인정서",$O23)),
    _xlfn.LET(
      _xlpm.size, VALUE(SUBSTITUTE(MID($C23, FIND("_",$C23, LEN($C23)-5)+1, LEN($C23)), "A","")),
      _xlpm.base_val, _xlfn.IFS(_xlpm.size&lt;=50, 1/6, _xlpm.size&lt;=100, 1/4, _xlpm.size&lt;=150, 1/3, _xlpm.size&lt;=200, 1/2, TRUE, 0),
      IF(ISNUMBER(SEARCH("벽체", $C23)), _xlpm.base_val * 2, _xlpm.base_val)
    ),
  0),
2)</f>
        <v>0.16</v>
      </c>
      <c r="M23" s="175">
        <f t="shared" ref="M23:M53" si="5">FLOOR($L23 * $G$262,1)</f>
        <v>691</v>
      </c>
      <c r="N23" s="447" t="s">
        <v>440</v>
      </c>
      <c r="O23" s="568" t="s">
        <v>184</v>
      </c>
      <c r="P23" s="569"/>
      <c r="Q23" s="12" t="str">
        <f t="shared" si="1"/>
        <v>입상_SU_충진재|입상_SU_충진재_20A|50A</v>
      </c>
    </row>
    <row r="24" spans="1:21">
      <c r="A24" s="494">
        <f t="shared" si="3"/>
        <v>16</v>
      </c>
      <c r="B24" s="474" t="s">
        <v>57</v>
      </c>
      <c r="C24" s="168" t="s">
        <v>195</v>
      </c>
      <c r="D24" s="51" t="s">
        <v>46</v>
      </c>
      <c r="E24" s="169">
        <v>3730</v>
      </c>
      <c r="F24" s="170">
        <f t="shared" si="0"/>
        <v>7460</v>
      </c>
      <c r="G24" s="170">
        <f t="shared" si="2"/>
        <v>4250</v>
      </c>
      <c r="H24" s="171" t="s">
        <v>102</v>
      </c>
      <c r="I24" s="172">
        <v>66.900000000000006</v>
      </c>
      <c r="J24" s="357">
        <f t="shared" ref="J24:J68" si="6">I24 / RIGHT(H24, LEN(H24)-FIND("@", SUBSTITUTE(H24, "*", "@", LEN(H24)-LEN(SUBSTITUTE(H24, "*", "")))))</f>
        <v>1.3937500000000002E-2</v>
      </c>
      <c r="K24" s="173">
        <f t="shared" si="4"/>
        <v>763</v>
      </c>
      <c r="L24" s="174" cm="1">
        <f t="array" ref="L24">TRUNC(
  IF($O24&lt;&gt;0,
    _xlfn.LET(
      _xlpm.size, VALUE(SUBSTITUTE(MID($C24, FIND("_",$C24, LEN($C24)-5)+1, LEN($C24)), "A","")),
      _xlpm.base_val, _xlfn.IFS(_xlpm.size&lt;=50, 1/6, _xlpm.size&lt;=100, 1/4, _xlpm.size&lt;=150, 1/3, _xlpm.size&lt;=200, 1/2, TRUE, 0),
      IF(ISNUMBER(SEARCH("벽체", $C24)), _xlpm.base_val * 2, _xlpm.base_val)
    ),
  0),
2)</f>
        <v>0.16</v>
      </c>
      <c r="M24" s="175">
        <f t="shared" si="5"/>
        <v>691</v>
      </c>
      <c r="N24" s="447" t="s">
        <v>440</v>
      </c>
      <c r="O24" s="568" t="s">
        <v>184</v>
      </c>
      <c r="P24" s="569"/>
      <c r="Q24" s="12" t="str">
        <f t="shared" si="1"/>
        <v>입상_SU_충진재|입상_SU_충진재_20A|75A</v>
      </c>
      <c r="S24" s="104"/>
      <c r="T24" s="107"/>
      <c r="U24" s="107"/>
    </row>
    <row r="25" spans="1:21">
      <c r="A25" s="494">
        <f t="shared" si="3"/>
        <v>17</v>
      </c>
      <c r="B25" s="474" t="s">
        <v>57</v>
      </c>
      <c r="C25" s="168" t="s">
        <v>196</v>
      </c>
      <c r="D25" s="176" t="s">
        <v>45</v>
      </c>
      <c r="E25" s="177">
        <v>3150</v>
      </c>
      <c r="F25" s="178">
        <f t="shared" si="0"/>
        <v>6300</v>
      </c>
      <c r="G25" s="178">
        <f t="shared" si="2"/>
        <v>3590</v>
      </c>
      <c r="H25" s="171" t="s">
        <v>102</v>
      </c>
      <c r="I25" s="173">
        <v>83.9</v>
      </c>
      <c r="J25" s="357">
        <f t="shared" si="6"/>
        <v>1.7479166666666667E-2</v>
      </c>
      <c r="K25" s="173">
        <f t="shared" si="4"/>
        <v>957</v>
      </c>
      <c r="L25" s="174" cm="1">
        <f t="array" ref="L25">TRUNC(
  IF($O25&lt;&gt;0,
    _xlfn.LET(
      _xlpm.size, VALUE(SUBSTITUTE(MID($C25, FIND("_",$C25, LEN($C25)-5)+1, LEN($C25)), "A","")),
      _xlpm.base_val, _xlfn.IFS(_xlpm.size&lt;=50, 1/6, _xlpm.size&lt;=100, 1/4, _xlpm.size&lt;=150, 1/3, _xlpm.size&lt;=200, 1/2, TRUE, 0),
      IF(ISNUMBER(SEARCH("벽체", $C25)), _xlpm.base_val * 2, _xlpm.base_val)
    ),
  0),
2)</f>
        <v>0.16</v>
      </c>
      <c r="M25" s="175">
        <f t="shared" si="5"/>
        <v>691</v>
      </c>
      <c r="N25" s="447" t="s">
        <v>440</v>
      </c>
      <c r="O25" s="568" t="s">
        <v>184</v>
      </c>
      <c r="P25" s="569"/>
      <c r="Q25" s="12" t="str">
        <f t="shared" si="1"/>
        <v>입상_SU_충진재|입상_SU_충진재_25A|50A</v>
      </c>
      <c r="S25" s="104"/>
      <c r="T25" s="107"/>
      <c r="U25" s="107"/>
    </row>
    <row r="26" spans="1:21" ht="17.100000000000001" customHeight="1">
      <c r="A26" s="494">
        <f t="shared" si="3"/>
        <v>18</v>
      </c>
      <c r="B26" s="474" t="s">
        <v>57</v>
      </c>
      <c r="C26" s="168" t="s">
        <v>196</v>
      </c>
      <c r="D26" s="51" t="s">
        <v>46</v>
      </c>
      <c r="E26" s="169">
        <v>3870</v>
      </c>
      <c r="F26" s="170">
        <f t="shared" si="0"/>
        <v>7740</v>
      </c>
      <c r="G26" s="170">
        <f t="shared" si="2"/>
        <v>4410</v>
      </c>
      <c r="H26" s="171" t="s">
        <v>102</v>
      </c>
      <c r="I26" s="172">
        <v>83.9</v>
      </c>
      <c r="J26" s="357">
        <f t="shared" si="6"/>
        <v>1.7479166666666667E-2</v>
      </c>
      <c r="K26" s="173">
        <f t="shared" si="4"/>
        <v>957</v>
      </c>
      <c r="L26" s="174" cm="1">
        <f t="array" ref="L26">TRUNC(
  IF($O26&lt;&gt;0,
    _xlfn.LET(
      _xlpm.size, VALUE(SUBSTITUTE(MID($C26, FIND("_",$C26, LEN($C26)-5)+1, LEN($C26)), "A","")),
      _xlpm.base_val, _xlfn.IFS(_xlpm.size&lt;=50, 1/6, _xlpm.size&lt;=100, 1/4, _xlpm.size&lt;=150, 1/3, _xlpm.size&lt;=200, 1/2, TRUE, 0),
      IF(ISNUMBER(SEARCH("벽체", $C26)), _xlpm.base_val * 2, _xlpm.base_val)
    ),
  0),
2)</f>
        <v>0.16</v>
      </c>
      <c r="M26" s="175">
        <f t="shared" si="5"/>
        <v>691</v>
      </c>
      <c r="N26" s="447" t="s">
        <v>440</v>
      </c>
      <c r="O26" s="568" t="s">
        <v>184</v>
      </c>
      <c r="P26" s="569"/>
      <c r="Q26" s="12" t="str">
        <f t="shared" si="1"/>
        <v>입상_SU_충진재|입상_SU_충진재_25A|75A</v>
      </c>
      <c r="S26" s="104"/>
      <c r="T26" s="107"/>
      <c r="U26" s="107"/>
    </row>
    <row r="27" spans="1:21">
      <c r="A27" s="494">
        <f t="shared" si="3"/>
        <v>19</v>
      </c>
      <c r="B27" s="474" t="s">
        <v>57</v>
      </c>
      <c r="C27" s="168" t="s">
        <v>196</v>
      </c>
      <c r="D27" s="51" t="s">
        <v>47</v>
      </c>
      <c r="E27" s="169">
        <v>4260</v>
      </c>
      <c r="F27" s="170">
        <f t="shared" si="0"/>
        <v>8520</v>
      </c>
      <c r="G27" s="170">
        <f t="shared" si="2"/>
        <v>4850</v>
      </c>
      <c r="H27" s="171" t="s">
        <v>102</v>
      </c>
      <c r="I27" s="172">
        <v>83.9</v>
      </c>
      <c r="J27" s="357">
        <f t="shared" si="6"/>
        <v>1.7479166666666667E-2</v>
      </c>
      <c r="K27" s="173">
        <f t="shared" si="4"/>
        <v>957</v>
      </c>
      <c r="L27" s="174" cm="1">
        <f t="array" ref="L27">TRUNC(
  IF($O27&lt;&gt;0,
    _xlfn.LET(
      _xlpm.size, VALUE(SUBSTITUTE(MID($C27, FIND("_",$C27, LEN($C27)-5)+1, LEN($C27)), "A","")),
      _xlpm.base_val, _xlfn.IFS(_xlpm.size&lt;=50, 1/6, _xlpm.size&lt;=100, 1/4, _xlpm.size&lt;=150, 1/3, _xlpm.size&lt;=200, 1/2, TRUE, 0),
      IF(ISNUMBER(SEARCH("벽체", $C27)), _xlpm.base_val * 2, _xlpm.base_val)
    ),
  0),
2)</f>
        <v>0.16</v>
      </c>
      <c r="M27" s="175">
        <f t="shared" si="5"/>
        <v>691</v>
      </c>
      <c r="N27" s="447" t="s">
        <v>440</v>
      </c>
      <c r="O27" s="568" t="s">
        <v>184</v>
      </c>
      <c r="P27" s="569"/>
      <c r="Q27" s="12" t="str">
        <f t="shared" si="1"/>
        <v>입상_SU_충진재|입상_SU_충진재_25A|100A</v>
      </c>
      <c r="S27" s="104"/>
      <c r="T27" s="107"/>
      <c r="U27" s="107"/>
    </row>
    <row r="28" spans="1:21">
      <c r="A28" s="494">
        <f t="shared" si="3"/>
        <v>20</v>
      </c>
      <c r="B28" s="474" t="s">
        <v>57</v>
      </c>
      <c r="C28" s="168" t="s">
        <v>197</v>
      </c>
      <c r="D28" s="176" t="s">
        <v>45</v>
      </c>
      <c r="E28" s="177">
        <v>3250</v>
      </c>
      <c r="F28" s="178">
        <f t="shared" si="0"/>
        <v>6500</v>
      </c>
      <c r="G28" s="178">
        <f t="shared" si="2"/>
        <v>3700</v>
      </c>
      <c r="H28" s="171" t="s">
        <v>102</v>
      </c>
      <c r="I28" s="173">
        <v>104.9</v>
      </c>
      <c r="J28" s="357">
        <f t="shared" si="6"/>
        <v>2.1854166666666668E-2</v>
      </c>
      <c r="K28" s="173">
        <f t="shared" si="4"/>
        <v>1197</v>
      </c>
      <c r="L28" s="174" cm="1">
        <f t="array" ref="L28">TRUNC(
  IF($O28&lt;&gt;0,
    _xlfn.LET(
      _xlpm.size, VALUE(SUBSTITUTE(MID($C28, FIND("_",$C28, LEN($C28)-5)+1, LEN($C28)), "A","")),
      _xlpm.base_val, _xlfn.IFS(_xlpm.size&lt;=50, 1/6, _xlpm.size&lt;=100, 1/4, _xlpm.size&lt;=150, 1/3, _xlpm.size&lt;=200, 1/2, TRUE, 0),
      IF(ISNUMBER(SEARCH("벽체", $C28)), _xlpm.base_val * 2, _xlpm.base_val)
    ),
  0),
2)</f>
        <v>0.16</v>
      </c>
      <c r="M28" s="175">
        <f t="shared" si="5"/>
        <v>691</v>
      </c>
      <c r="N28" s="447" t="s">
        <v>440</v>
      </c>
      <c r="O28" s="568" t="s">
        <v>184</v>
      </c>
      <c r="P28" s="569"/>
      <c r="Q28" s="12" t="str">
        <f t="shared" si="1"/>
        <v>입상_SU_충진재|입상_SU_충진재_30A|50A</v>
      </c>
      <c r="S28" s="104"/>
      <c r="T28" s="107"/>
      <c r="U28" s="107"/>
    </row>
    <row r="29" spans="1:21" ht="17.100000000000001" customHeight="1">
      <c r="A29" s="494">
        <f t="shared" si="3"/>
        <v>21</v>
      </c>
      <c r="B29" s="474" t="s">
        <v>57</v>
      </c>
      <c r="C29" s="168" t="s">
        <v>197</v>
      </c>
      <c r="D29" s="51" t="s">
        <v>46</v>
      </c>
      <c r="E29" s="169">
        <v>3950</v>
      </c>
      <c r="F29" s="170">
        <f t="shared" si="0"/>
        <v>7900</v>
      </c>
      <c r="G29" s="170">
        <f t="shared" si="2"/>
        <v>4500</v>
      </c>
      <c r="H29" s="171" t="s">
        <v>102</v>
      </c>
      <c r="I29" s="172">
        <v>104.9</v>
      </c>
      <c r="J29" s="357">
        <f t="shared" si="6"/>
        <v>2.1854166666666668E-2</v>
      </c>
      <c r="K29" s="173">
        <f t="shared" si="4"/>
        <v>1197</v>
      </c>
      <c r="L29" s="174" cm="1">
        <f t="array" ref="L29">TRUNC(
  IF($O29&lt;&gt;0,
    _xlfn.LET(
      _xlpm.size, VALUE(SUBSTITUTE(MID($C29, FIND("_",$C29, LEN($C29)-5)+1, LEN($C29)), "A","")),
      _xlpm.base_val, _xlfn.IFS(_xlpm.size&lt;=50, 1/6, _xlpm.size&lt;=100, 1/4, _xlpm.size&lt;=150, 1/3, _xlpm.size&lt;=200, 1/2, TRUE, 0),
      IF(ISNUMBER(SEARCH("벽체", $C29)), _xlpm.base_val * 2, _xlpm.base_val)
    ),
  0),
2)</f>
        <v>0.16</v>
      </c>
      <c r="M29" s="175">
        <f t="shared" si="5"/>
        <v>691</v>
      </c>
      <c r="N29" s="447" t="s">
        <v>440</v>
      </c>
      <c r="O29" s="568" t="s">
        <v>184</v>
      </c>
      <c r="P29" s="569"/>
      <c r="Q29" s="12" t="str">
        <f t="shared" si="1"/>
        <v>입상_SU_충진재|입상_SU_충진재_30A|75A</v>
      </c>
      <c r="S29" s="104"/>
      <c r="T29" s="107"/>
      <c r="U29" s="107"/>
    </row>
    <row r="30" spans="1:21">
      <c r="A30" s="494">
        <f t="shared" si="3"/>
        <v>22</v>
      </c>
      <c r="B30" s="474" t="s">
        <v>57</v>
      </c>
      <c r="C30" s="168" t="s">
        <v>197</v>
      </c>
      <c r="D30" s="51" t="s">
        <v>47</v>
      </c>
      <c r="E30" s="169">
        <v>4330</v>
      </c>
      <c r="F30" s="170">
        <f t="shared" si="0"/>
        <v>8660</v>
      </c>
      <c r="G30" s="170">
        <f t="shared" si="2"/>
        <v>4930</v>
      </c>
      <c r="H30" s="171" t="s">
        <v>102</v>
      </c>
      <c r="I30" s="172">
        <v>104.9</v>
      </c>
      <c r="J30" s="357">
        <f t="shared" si="6"/>
        <v>2.1854166666666668E-2</v>
      </c>
      <c r="K30" s="173">
        <f t="shared" si="4"/>
        <v>1197</v>
      </c>
      <c r="L30" s="174" cm="1">
        <f t="array" ref="L30">TRUNC(
  IF($O30&lt;&gt;0,
    _xlfn.LET(
      _xlpm.size, VALUE(SUBSTITUTE(MID($C30, FIND("_",$C30, LEN($C30)-5)+1, LEN($C30)), "A","")),
      _xlpm.base_val, _xlfn.IFS(_xlpm.size&lt;=50, 1/6, _xlpm.size&lt;=100, 1/4, _xlpm.size&lt;=150, 1/3, _xlpm.size&lt;=200, 1/2, TRUE, 0),
      IF(ISNUMBER(SEARCH("벽체", $C30)), _xlpm.base_val * 2, _xlpm.base_val)
    ),
  0),
2)</f>
        <v>0.16</v>
      </c>
      <c r="M30" s="175">
        <f t="shared" si="5"/>
        <v>691</v>
      </c>
      <c r="N30" s="447" t="s">
        <v>440</v>
      </c>
      <c r="O30" s="568" t="s">
        <v>184</v>
      </c>
      <c r="P30" s="569"/>
      <c r="Q30" s="12" t="str">
        <f t="shared" si="1"/>
        <v>입상_SU_충진재|입상_SU_충진재_30A|100A</v>
      </c>
      <c r="S30" s="104"/>
      <c r="T30" s="107"/>
      <c r="U30" s="107"/>
    </row>
    <row r="31" spans="1:21">
      <c r="A31" s="494">
        <f t="shared" si="3"/>
        <v>23</v>
      </c>
      <c r="B31" s="474" t="s">
        <v>57</v>
      </c>
      <c r="C31" s="168" t="s">
        <v>197</v>
      </c>
      <c r="D31" s="51" t="s">
        <v>48</v>
      </c>
      <c r="E31" s="169">
        <v>5160</v>
      </c>
      <c r="F31" s="170">
        <f t="shared" si="0"/>
        <v>10320</v>
      </c>
      <c r="G31" s="170">
        <f t="shared" si="2"/>
        <v>5880</v>
      </c>
      <c r="H31" s="171" t="s">
        <v>102</v>
      </c>
      <c r="I31" s="172">
        <v>104.9</v>
      </c>
      <c r="J31" s="357">
        <f t="shared" si="6"/>
        <v>2.1854166666666668E-2</v>
      </c>
      <c r="K31" s="173">
        <f t="shared" si="4"/>
        <v>1197</v>
      </c>
      <c r="L31" s="174" cm="1">
        <f t="array" ref="L31">TRUNC(
  IF($O31&lt;&gt;0,
    _xlfn.LET(
      _xlpm.size, VALUE(SUBSTITUTE(MID($C31, FIND("_",$C31, LEN($C31)-5)+1, LEN($C31)), "A","")),
      _xlpm.base_val, _xlfn.IFS(_xlpm.size&lt;=50, 1/6, _xlpm.size&lt;=100, 1/4, _xlpm.size&lt;=150, 1/3, _xlpm.size&lt;=200, 1/2, TRUE, 0),
      IF(ISNUMBER(SEARCH("벽체", $C31)), _xlpm.base_val * 2, _xlpm.base_val)
    ),
  0),
2)</f>
        <v>0.16</v>
      </c>
      <c r="M31" s="175">
        <f t="shared" si="5"/>
        <v>691</v>
      </c>
      <c r="N31" s="447" t="s">
        <v>440</v>
      </c>
      <c r="O31" s="568" t="s">
        <v>184</v>
      </c>
      <c r="P31" s="569"/>
      <c r="Q31" s="12" t="str">
        <f t="shared" si="1"/>
        <v>입상_SU_충진재|입상_SU_충진재_30A|125A</v>
      </c>
      <c r="S31" s="104"/>
      <c r="T31" s="107"/>
      <c r="U31" s="107"/>
    </row>
    <row r="32" spans="1:21">
      <c r="A32" s="494">
        <f t="shared" si="3"/>
        <v>24</v>
      </c>
      <c r="B32" s="474" t="s">
        <v>57</v>
      </c>
      <c r="C32" s="168" t="s">
        <v>198</v>
      </c>
      <c r="D32" s="176" t="s">
        <v>45</v>
      </c>
      <c r="E32" s="177">
        <v>3440</v>
      </c>
      <c r="F32" s="178">
        <f t="shared" si="0"/>
        <v>6880</v>
      </c>
      <c r="G32" s="178">
        <f t="shared" si="2"/>
        <v>3920</v>
      </c>
      <c r="H32" s="171" t="s">
        <v>102</v>
      </c>
      <c r="I32" s="173">
        <v>134.1</v>
      </c>
      <c r="J32" s="357">
        <f t="shared" si="6"/>
        <v>2.7937500000000001E-2</v>
      </c>
      <c r="K32" s="173">
        <f t="shared" si="4"/>
        <v>1530</v>
      </c>
      <c r="L32" s="174" cm="1">
        <f t="array" ref="L32">TRUNC(
  IF($O32&lt;&gt;0,
    _xlfn.LET(
      _xlpm.size, VALUE(SUBSTITUTE(MID($C32, FIND("_",$C32, LEN($C32)-5)+1, LEN($C32)), "A","")),
      _xlpm.base_val, _xlfn.IFS(_xlpm.size&lt;=50, 1/6, _xlpm.size&lt;=100, 1/4, _xlpm.size&lt;=150, 1/3, _xlpm.size&lt;=200, 1/2, TRUE, 0),
      IF(ISNUMBER(SEARCH("벽체", $C32)), _xlpm.base_val * 2, _xlpm.base_val)
    ),
  0),
2)</f>
        <v>0.16</v>
      </c>
      <c r="M32" s="175">
        <f t="shared" si="5"/>
        <v>691</v>
      </c>
      <c r="N32" s="447" t="s">
        <v>440</v>
      </c>
      <c r="O32" s="568" t="s">
        <v>184</v>
      </c>
      <c r="P32" s="569"/>
      <c r="Q32" s="12" t="str">
        <f t="shared" si="1"/>
        <v>입상_SU_충진재|입상_SU_충진재_40A|50A</v>
      </c>
      <c r="S32" s="104"/>
      <c r="T32" s="107"/>
      <c r="U32" s="107"/>
    </row>
    <row r="33" spans="1:21" ht="17.100000000000001" customHeight="1">
      <c r="A33" s="494">
        <f t="shared" si="3"/>
        <v>25</v>
      </c>
      <c r="B33" s="474" t="s">
        <v>57</v>
      </c>
      <c r="C33" s="168" t="s">
        <v>198</v>
      </c>
      <c r="D33" s="51" t="s">
        <v>46</v>
      </c>
      <c r="E33" s="169">
        <v>4140</v>
      </c>
      <c r="F33" s="170">
        <f t="shared" si="0"/>
        <v>8280</v>
      </c>
      <c r="G33" s="170">
        <f t="shared" si="2"/>
        <v>4710</v>
      </c>
      <c r="H33" s="171" t="s">
        <v>102</v>
      </c>
      <c r="I33" s="172">
        <v>134.1</v>
      </c>
      <c r="J33" s="357">
        <f t="shared" si="6"/>
        <v>2.7937500000000001E-2</v>
      </c>
      <c r="K33" s="173">
        <f t="shared" si="4"/>
        <v>1530</v>
      </c>
      <c r="L33" s="174" cm="1">
        <f t="array" ref="L33">TRUNC(
  IF($O33&lt;&gt;0,
    _xlfn.LET(
      _xlpm.size, VALUE(SUBSTITUTE(MID($C33, FIND("_",$C33, LEN($C33)-5)+1, LEN($C33)), "A","")),
      _xlpm.base_val, _xlfn.IFS(_xlpm.size&lt;=50, 1/6, _xlpm.size&lt;=100, 1/4, _xlpm.size&lt;=150, 1/3, _xlpm.size&lt;=200, 1/2, TRUE, 0),
      IF(ISNUMBER(SEARCH("벽체", $C33)), _xlpm.base_val * 2, _xlpm.base_val)
    ),
  0),
2)</f>
        <v>0.16</v>
      </c>
      <c r="M33" s="175">
        <f t="shared" si="5"/>
        <v>691</v>
      </c>
      <c r="N33" s="447" t="s">
        <v>440</v>
      </c>
      <c r="O33" s="568" t="s">
        <v>184</v>
      </c>
      <c r="P33" s="569"/>
      <c r="Q33" s="12" t="str">
        <f t="shared" si="1"/>
        <v>입상_SU_충진재|입상_SU_충진재_40A|75A</v>
      </c>
      <c r="S33" s="104"/>
      <c r="T33" s="107"/>
      <c r="U33" s="107"/>
    </row>
    <row r="34" spans="1:21">
      <c r="A34" s="494">
        <f t="shared" si="3"/>
        <v>26</v>
      </c>
      <c r="B34" s="474" t="s">
        <v>57</v>
      </c>
      <c r="C34" s="168" t="s">
        <v>198</v>
      </c>
      <c r="D34" s="51" t="s">
        <v>47</v>
      </c>
      <c r="E34" s="169">
        <v>4490</v>
      </c>
      <c r="F34" s="170">
        <f t="shared" si="0"/>
        <v>8980</v>
      </c>
      <c r="G34" s="170">
        <f t="shared" si="2"/>
        <v>5110</v>
      </c>
      <c r="H34" s="171" t="s">
        <v>102</v>
      </c>
      <c r="I34" s="172">
        <v>134.1</v>
      </c>
      <c r="J34" s="357">
        <f t="shared" si="6"/>
        <v>2.7937500000000001E-2</v>
      </c>
      <c r="K34" s="173">
        <f t="shared" si="4"/>
        <v>1530</v>
      </c>
      <c r="L34" s="174" cm="1">
        <f t="array" ref="L34">TRUNC(
  IF($O34&lt;&gt;0,
    _xlfn.LET(
      _xlpm.size, VALUE(SUBSTITUTE(MID($C34, FIND("_",$C34, LEN($C34)-5)+1, LEN($C34)), "A","")),
      _xlpm.base_val, _xlfn.IFS(_xlpm.size&lt;=50, 1/6, _xlpm.size&lt;=100, 1/4, _xlpm.size&lt;=150, 1/3, _xlpm.size&lt;=200, 1/2, TRUE, 0),
      IF(ISNUMBER(SEARCH("벽체", $C34)), _xlpm.base_val * 2, _xlpm.base_val)
    ),
  0),
2)</f>
        <v>0.16</v>
      </c>
      <c r="M34" s="175">
        <f t="shared" si="5"/>
        <v>691</v>
      </c>
      <c r="N34" s="447" t="s">
        <v>440</v>
      </c>
      <c r="O34" s="568" t="s">
        <v>184</v>
      </c>
      <c r="P34" s="569"/>
      <c r="Q34" s="12" t="str">
        <f t="shared" si="1"/>
        <v>입상_SU_충진재|입상_SU_충진재_40A|100A</v>
      </c>
      <c r="S34" s="104"/>
      <c r="T34" s="107"/>
      <c r="U34" s="107"/>
    </row>
    <row r="35" spans="1:21">
      <c r="A35" s="494">
        <f t="shared" si="3"/>
        <v>27</v>
      </c>
      <c r="B35" s="474" t="s">
        <v>57</v>
      </c>
      <c r="C35" s="168" t="s">
        <v>198</v>
      </c>
      <c r="D35" s="51" t="s">
        <v>48</v>
      </c>
      <c r="E35" s="169">
        <v>5330</v>
      </c>
      <c r="F35" s="170">
        <f t="shared" si="0"/>
        <v>10660</v>
      </c>
      <c r="G35" s="170">
        <f t="shared" si="2"/>
        <v>6070</v>
      </c>
      <c r="H35" s="171" t="s">
        <v>102</v>
      </c>
      <c r="I35" s="172">
        <v>134.1</v>
      </c>
      <c r="J35" s="357">
        <f t="shared" si="6"/>
        <v>2.7937500000000001E-2</v>
      </c>
      <c r="K35" s="173">
        <f t="shared" si="4"/>
        <v>1530</v>
      </c>
      <c r="L35" s="174" cm="1">
        <f t="array" ref="L35">TRUNC(
  IF($O35&lt;&gt;0,
    _xlfn.LET(
      _xlpm.size, VALUE(SUBSTITUTE(MID($C35, FIND("_",$C35, LEN($C35)-5)+1, LEN($C35)), "A","")),
      _xlpm.base_val, _xlfn.IFS(_xlpm.size&lt;=50, 1/6, _xlpm.size&lt;=100, 1/4, _xlpm.size&lt;=150, 1/3, _xlpm.size&lt;=200, 1/2, TRUE, 0),
      IF(ISNUMBER(SEARCH("벽체", $C35)), _xlpm.base_val * 2, _xlpm.base_val)
    ),
  0),
2)</f>
        <v>0.16</v>
      </c>
      <c r="M35" s="175">
        <f t="shared" si="5"/>
        <v>691</v>
      </c>
      <c r="N35" s="447" t="s">
        <v>440</v>
      </c>
      <c r="O35" s="568" t="s">
        <v>184</v>
      </c>
      <c r="P35" s="569"/>
      <c r="Q35" s="12" t="str">
        <f t="shared" si="1"/>
        <v>입상_SU_충진재|입상_SU_충진재_40A|125A</v>
      </c>
      <c r="S35" s="104"/>
      <c r="T35" s="107"/>
      <c r="U35" s="107"/>
    </row>
    <row r="36" spans="1:21">
      <c r="A36" s="494">
        <f t="shared" si="3"/>
        <v>28</v>
      </c>
      <c r="B36" s="474" t="s">
        <v>57</v>
      </c>
      <c r="C36" s="168" t="s">
        <v>200</v>
      </c>
      <c r="D36" s="176" t="s">
        <v>45</v>
      </c>
      <c r="E36" s="177">
        <v>3580</v>
      </c>
      <c r="F36" s="178">
        <f t="shared" si="0"/>
        <v>7160</v>
      </c>
      <c r="G36" s="178">
        <f t="shared" si="2"/>
        <v>4080</v>
      </c>
      <c r="H36" s="171" t="s">
        <v>102</v>
      </c>
      <c r="I36" s="173">
        <v>152.69999999999999</v>
      </c>
      <c r="J36" s="357">
        <f t="shared" si="6"/>
        <v>3.18125E-2</v>
      </c>
      <c r="K36" s="173">
        <f t="shared" si="4"/>
        <v>1742</v>
      </c>
      <c r="L36" s="174" cm="1">
        <f t="array" ref="L36">TRUNC(
  IF($O36&lt;&gt;0,
    _xlfn.LET(
      _xlpm.size, VALUE(SUBSTITUTE(MID($C36, FIND("_",$C36, LEN($C36)-5)+1, LEN($C36)), "A","")),
      _xlpm.base_val, _xlfn.IFS(_xlpm.size&lt;=50, 1/6, _xlpm.size&lt;=100, 1/4, _xlpm.size&lt;=150, 1/3, _xlpm.size&lt;=200, 1/2, TRUE, 0),
      IF(ISNUMBER(SEARCH("벽체", $C36)), _xlpm.base_val * 2, _xlpm.base_val)
    ),
  0),
2)</f>
        <v>0.16</v>
      </c>
      <c r="M36" s="175">
        <f t="shared" si="5"/>
        <v>691</v>
      </c>
      <c r="N36" s="447" t="s">
        <v>440</v>
      </c>
      <c r="O36" s="568" t="s">
        <v>184</v>
      </c>
      <c r="P36" s="569"/>
      <c r="Q36" s="12" t="str">
        <f t="shared" si="1"/>
        <v>입상_SU_충진재|입상_SU_충진재_50A|50A</v>
      </c>
      <c r="S36" s="104"/>
      <c r="T36" s="107"/>
      <c r="U36" s="107"/>
    </row>
    <row r="37" spans="1:21" ht="17.100000000000001" customHeight="1">
      <c r="A37" s="494">
        <f t="shared" si="3"/>
        <v>29</v>
      </c>
      <c r="B37" s="474" t="s">
        <v>57</v>
      </c>
      <c r="C37" s="168" t="s">
        <v>200</v>
      </c>
      <c r="D37" s="51" t="s">
        <v>46</v>
      </c>
      <c r="E37" s="169">
        <v>4260</v>
      </c>
      <c r="F37" s="170">
        <f t="shared" si="0"/>
        <v>8520</v>
      </c>
      <c r="G37" s="170">
        <f t="shared" si="2"/>
        <v>4850</v>
      </c>
      <c r="H37" s="171" t="s">
        <v>102</v>
      </c>
      <c r="I37" s="172">
        <v>152.69999999999999</v>
      </c>
      <c r="J37" s="357">
        <f t="shared" si="6"/>
        <v>3.18125E-2</v>
      </c>
      <c r="K37" s="173">
        <f t="shared" si="4"/>
        <v>1742</v>
      </c>
      <c r="L37" s="174" cm="1">
        <f t="array" ref="L37">TRUNC(
  IF($O37&lt;&gt;0,
    _xlfn.LET(
      _xlpm.size, VALUE(SUBSTITUTE(MID($C37, FIND("_",$C37, LEN($C37)-5)+1, LEN($C37)), "A","")),
      _xlpm.base_val, _xlfn.IFS(_xlpm.size&lt;=50, 1/6, _xlpm.size&lt;=100, 1/4, _xlpm.size&lt;=150, 1/3, _xlpm.size&lt;=200, 1/2, TRUE, 0),
      IF(ISNUMBER(SEARCH("벽체", $C37)), _xlpm.base_val * 2, _xlpm.base_val)
    ),
  0),
2)</f>
        <v>0.16</v>
      </c>
      <c r="M37" s="175">
        <f t="shared" si="5"/>
        <v>691</v>
      </c>
      <c r="N37" s="447" t="s">
        <v>440</v>
      </c>
      <c r="O37" s="568" t="s">
        <v>184</v>
      </c>
      <c r="P37" s="569"/>
      <c r="Q37" s="12" t="str">
        <f t="shared" si="1"/>
        <v>입상_SU_충진재|입상_SU_충진재_50A|75A</v>
      </c>
      <c r="S37" s="104"/>
      <c r="T37" s="107"/>
      <c r="U37" s="107"/>
    </row>
    <row r="38" spans="1:21">
      <c r="A38" s="494">
        <f t="shared" si="3"/>
        <v>30</v>
      </c>
      <c r="B38" s="474" t="s">
        <v>57</v>
      </c>
      <c r="C38" s="168" t="s">
        <v>200</v>
      </c>
      <c r="D38" s="51" t="s">
        <v>47</v>
      </c>
      <c r="E38" s="169">
        <v>4610</v>
      </c>
      <c r="F38" s="170">
        <f t="shared" si="0"/>
        <v>9220</v>
      </c>
      <c r="G38" s="170">
        <f t="shared" si="2"/>
        <v>5250</v>
      </c>
      <c r="H38" s="171" t="s">
        <v>102</v>
      </c>
      <c r="I38" s="172">
        <v>152.69999999999999</v>
      </c>
      <c r="J38" s="357">
        <f t="shared" si="6"/>
        <v>3.18125E-2</v>
      </c>
      <c r="K38" s="173">
        <f t="shared" si="4"/>
        <v>1742</v>
      </c>
      <c r="L38" s="174" cm="1">
        <f t="array" ref="L38">TRUNC(
  IF($O38&lt;&gt;0,
    _xlfn.LET(
      _xlpm.size, VALUE(SUBSTITUTE(MID($C38, FIND("_",$C38, LEN($C38)-5)+1, LEN($C38)), "A","")),
      _xlpm.base_val, _xlfn.IFS(_xlpm.size&lt;=50, 1/6, _xlpm.size&lt;=100, 1/4, _xlpm.size&lt;=150, 1/3, _xlpm.size&lt;=200, 1/2, TRUE, 0),
      IF(ISNUMBER(SEARCH("벽체", $C38)), _xlpm.base_val * 2, _xlpm.base_val)
    ),
  0),
2)</f>
        <v>0.16</v>
      </c>
      <c r="M38" s="175">
        <f t="shared" si="5"/>
        <v>691</v>
      </c>
      <c r="N38" s="447" t="s">
        <v>440</v>
      </c>
      <c r="O38" s="568" t="s">
        <v>184</v>
      </c>
      <c r="P38" s="569"/>
      <c r="Q38" s="12" t="str">
        <f t="shared" si="1"/>
        <v>입상_SU_충진재|입상_SU_충진재_50A|100A</v>
      </c>
      <c r="S38" s="104"/>
      <c r="T38" s="107"/>
      <c r="U38" s="107"/>
    </row>
    <row r="39" spans="1:21">
      <c r="A39" s="494">
        <f t="shared" si="3"/>
        <v>31</v>
      </c>
      <c r="B39" s="474" t="s">
        <v>57</v>
      </c>
      <c r="C39" s="168" t="s">
        <v>199</v>
      </c>
      <c r="D39" s="51" t="s">
        <v>48</v>
      </c>
      <c r="E39" s="169">
        <v>5400</v>
      </c>
      <c r="F39" s="170">
        <f t="shared" si="0"/>
        <v>10800</v>
      </c>
      <c r="G39" s="170">
        <f t="shared" si="2"/>
        <v>6150</v>
      </c>
      <c r="H39" s="171" t="s">
        <v>102</v>
      </c>
      <c r="I39" s="172">
        <v>152.69999999999999</v>
      </c>
      <c r="J39" s="357">
        <f t="shared" si="6"/>
        <v>3.18125E-2</v>
      </c>
      <c r="K39" s="173">
        <f t="shared" si="4"/>
        <v>1742</v>
      </c>
      <c r="L39" s="174" cm="1">
        <f t="array" ref="L39">TRUNC(
  IF($O39&lt;&gt;0,
    _xlfn.LET(
      _xlpm.size, VALUE(SUBSTITUTE(MID($C39, FIND("_",$C39, LEN($C39)-5)+1, LEN($C39)), "A","")),
      _xlpm.base_val, _xlfn.IFS(_xlpm.size&lt;=50, 1/6, _xlpm.size&lt;=100, 1/4, _xlpm.size&lt;=150, 1/3, _xlpm.size&lt;=200, 1/2, TRUE, 0),
      IF(ISNUMBER(SEARCH("벽체", $C39)), _xlpm.base_val * 2, _xlpm.base_val)
    ),
  0),
2)</f>
        <v>0.16</v>
      </c>
      <c r="M39" s="175">
        <f t="shared" si="5"/>
        <v>691</v>
      </c>
      <c r="N39" s="447" t="s">
        <v>440</v>
      </c>
      <c r="O39" s="568" t="s">
        <v>184</v>
      </c>
      <c r="P39" s="569"/>
      <c r="Q39" s="12" t="str">
        <f t="shared" si="1"/>
        <v>입상_SU_충진재|입상_SU_충진재_50A|125A</v>
      </c>
      <c r="S39" s="104"/>
      <c r="T39" s="107"/>
      <c r="U39" s="107"/>
    </row>
    <row r="40" spans="1:21" ht="17.100000000000001" customHeight="1">
      <c r="A40" s="494">
        <f t="shared" si="3"/>
        <v>32</v>
      </c>
      <c r="B40" s="474" t="s">
        <v>57</v>
      </c>
      <c r="C40" s="168" t="s">
        <v>201</v>
      </c>
      <c r="D40" s="51" t="s">
        <v>46</v>
      </c>
      <c r="E40" s="169">
        <v>4420</v>
      </c>
      <c r="F40" s="170">
        <f t="shared" si="0"/>
        <v>8840</v>
      </c>
      <c r="G40" s="170">
        <f t="shared" si="2"/>
        <v>5030</v>
      </c>
      <c r="H40" s="171" t="s">
        <v>102</v>
      </c>
      <c r="I40" s="172">
        <v>190.1</v>
      </c>
      <c r="J40" s="357">
        <f t="shared" si="6"/>
        <v>3.9604166666666663E-2</v>
      </c>
      <c r="K40" s="173">
        <f t="shared" si="4"/>
        <v>2169</v>
      </c>
      <c r="L40" s="174" cm="1">
        <f t="array" ref="L40">TRUNC(
  IF($O40&lt;&gt;0,
    _xlfn.LET(
      _xlpm.size, VALUE(SUBSTITUTE(MID($C40, FIND("_",$C40, LEN($C40)-5)+1, LEN($C40)), "A","")),
      _xlpm.base_val, _xlfn.IFS(_xlpm.size&lt;=50, 1/6, _xlpm.size&lt;=100, 1/4, _xlpm.size&lt;=150, 1/3, _xlpm.size&lt;=200, 1/2, TRUE, 0),
      IF(ISNUMBER(SEARCH("벽체", $C40)), _xlpm.base_val * 2, _xlpm.base_val)
    ),
  0),
2)</f>
        <v>0.25</v>
      </c>
      <c r="M40" s="175">
        <f t="shared" si="5"/>
        <v>1080</v>
      </c>
      <c r="N40" s="447" t="s">
        <v>440</v>
      </c>
      <c r="O40" s="568" t="s">
        <v>184</v>
      </c>
      <c r="P40" s="569"/>
      <c r="Q40" s="12" t="str">
        <f t="shared" si="1"/>
        <v>입상_SU_충진재|입상_SU_충진재_60A|75A</v>
      </c>
      <c r="S40" s="104"/>
      <c r="T40" s="107"/>
      <c r="U40" s="107"/>
    </row>
    <row r="41" spans="1:21">
      <c r="A41" s="494">
        <f t="shared" si="3"/>
        <v>33</v>
      </c>
      <c r="B41" s="474" t="s">
        <v>57</v>
      </c>
      <c r="C41" s="168" t="s">
        <v>202</v>
      </c>
      <c r="D41" s="51" t="s">
        <v>47</v>
      </c>
      <c r="E41" s="169">
        <v>4770</v>
      </c>
      <c r="F41" s="170">
        <f t="shared" si="0"/>
        <v>9540</v>
      </c>
      <c r="G41" s="170">
        <f t="shared" si="2"/>
        <v>5430</v>
      </c>
      <c r="H41" s="171" t="s">
        <v>102</v>
      </c>
      <c r="I41" s="172">
        <v>190.1</v>
      </c>
      <c r="J41" s="357">
        <f t="shared" si="6"/>
        <v>3.9604166666666663E-2</v>
      </c>
      <c r="K41" s="173">
        <f t="shared" si="4"/>
        <v>2169</v>
      </c>
      <c r="L41" s="174" cm="1">
        <f t="array" ref="L41">TRUNC(
  IF($O41&lt;&gt;0,
    _xlfn.LET(
      _xlpm.size, VALUE(SUBSTITUTE(MID($C41, FIND("_",$C41, LEN($C41)-5)+1, LEN($C41)), "A","")),
      _xlpm.base_val, _xlfn.IFS(_xlpm.size&lt;=50, 1/6, _xlpm.size&lt;=100, 1/4, _xlpm.size&lt;=150, 1/3, _xlpm.size&lt;=200, 1/2, TRUE, 0),
      IF(ISNUMBER(SEARCH("벽체", $C41)), _xlpm.base_val * 2, _xlpm.base_val)
    ),
  0),
2)</f>
        <v>0.25</v>
      </c>
      <c r="M41" s="175">
        <f t="shared" si="5"/>
        <v>1080</v>
      </c>
      <c r="N41" s="447" t="s">
        <v>440</v>
      </c>
      <c r="O41" s="568" t="s">
        <v>184</v>
      </c>
      <c r="P41" s="569"/>
      <c r="Q41" s="12" t="str">
        <f t="shared" si="1"/>
        <v>입상_SU_충진재|입상_SU_충진재_60A|100A</v>
      </c>
      <c r="S41" s="104"/>
      <c r="T41" s="107"/>
      <c r="U41" s="107"/>
    </row>
    <row r="42" spans="1:21">
      <c r="A42" s="494">
        <f t="shared" si="3"/>
        <v>34</v>
      </c>
      <c r="B42" s="474" t="s">
        <v>57</v>
      </c>
      <c r="C42" s="168" t="s">
        <v>202</v>
      </c>
      <c r="D42" s="176" t="s">
        <v>48</v>
      </c>
      <c r="E42" s="177">
        <v>5560</v>
      </c>
      <c r="F42" s="178">
        <f t="shared" si="0"/>
        <v>11120</v>
      </c>
      <c r="G42" s="178">
        <f t="shared" si="2"/>
        <v>6330</v>
      </c>
      <c r="H42" s="171" t="s">
        <v>102</v>
      </c>
      <c r="I42" s="173">
        <v>190.1</v>
      </c>
      <c r="J42" s="357">
        <f t="shared" si="6"/>
        <v>3.9604166666666663E-2</v>
      </c>
      <c r="K42" s="173">
        <f t="shared" si="4"/>
        <v>2169</v>
      </c>
      <c r="L42" s="174" cm="1">
        <f t="array" ref="L42">TRUNC(
  IF($O42&lt;&gt;0,
    _xlfn.LET(
      _xlpm.size, VALUE(SUBSTITUTE(MID($C42, FIND("_",$C42, LEN($C42)-5)+1, LEN($C42)), "A","")),
      _xlpm.base_val, _xlfn.IFS(_xlpm.size&lt;=50, 1/6, _xlpm.size&lt;=100, 1/4, _xlpm.size&lt;=150, 1/3, _xlpm.size&lt;=200, 1/2, TRUE, 0),
      IF(ISNUMBER(SEARCH("벽체", $C42)), _xlpm.base_val * 2, _xlpm.base_val)
    ),
  0),
2)</f>
        <v>0.25</v>
      </c>
      <c r="M42" s="175">
        <f t="shared" si="5"/>
        <v>1080</v>
      </c>
      <c r="N42" s="447" t="s">
        <v>440</v>
      </c>
      <c r="O42" s="568" t="s">
        <v>184</v>
      </c>
      <c r="P42" s="569"/>
      <c r="Q42" s="12" t="str">
        <f t="shared" si="1"/>
        <v>입상_SU_충진재|입상_SU_충진재_60A|125A</v>
      </c>
      <c r="S42" s="104"/>
      <c r="T42" s="107"/>
      <c r="U42" s="107"/>
    </row>
    <row r="43" spans="1:21">
      <c r="A43" s="494">
        <f t="shared" si="3"/>
        <v>35</v>
      </c>
      <c r="B43" s="474" t="s">
        <v>57</v>
      </c>
      <c r="C43" s="168" t="s">
        <v>202</v>
      </c>
      <c r="D43" s="176" t="s">
        <v>180</v>
      </c>
      <c r="E43" s="177">
        <v>6250</v>
      </c>
      <c r="F43" s="178">
        <f t="shared" si="0"/>
        <v>12500</v>
      </c>
      <c r="G43" s="178">
        <f t="shared" si="2"/>
        <v>7120</v>
      </c>
      <c r="H43" s="171" t="s">
        <v>102</v>
      </c>
      <c r="I43" s="173">
        <v>190.1</v>
      </c>
      <c r="J43" s="357">
        <f t="shared" si="6"/>
        <v>3.9604166666666663E-2</v>
      </c>
      <c r="K43" s="173">
        <f t="shared" si="4"/>
        <v>2169</v>
      </c>
      <c r="L43" s="174" cm="1">
        <f t="array" ref="L43">TRUNC(
  IF($O43&lt;&gt;0,
    _xlfn.LET(
      _xlpm.size, VALUE(SUBSTITUTE(MID($C43, FIND("_",$C43, LEN($C43)-5)+1, LEN($C43)), "A","")),
      _xlpm.base_val, _xlfn.IFS(_xlpm.size&lt;=50, 1/6, _xlpm.size&lt;=100, 1/4, _xlpm.size&lt;=150, 1/3, _xlpm.size&lt;=200, 1/2, TRUE, 0),
      IF(ISNUMBER(SEARCH("벽체", $C43)), _xlpm.base_val * 2, _xlpm.base_val)
    ),
  0),
2)</f>
        <v>0.25</v>
      </c>
      <c r="M43" s="175">
        <f t="shared" si="5"/>
        <v>1080</v>
      </c>
      <c r="N43" s="447" t="s">
        <v>440</v>
      </c>
      <c r="O43" s="568" t="s">
        <v>184</v>
      </c>
      <c r="P43" s="569"/>
      <c r="Q43" s="12" t="str">
        <f t="shared" si="1"/>
        <v>입상_SU_충진재|입상_SU_충진재_60A|150A(외경 180.3mm 이하)</v>
      </c>
      <c r="S43" s="104"/>
      <c r="T43" s="107"/>
      <c r="U43" s="107"/>
    </row>
    <row r="44" spans="1:21">
      <c r="A44" s="494">
        <f t="shared" si="3"/>
        <v>36</v>
      </c>
      <c r="B44" s="474" t="s">
        <v>57</v>
      </c>
      <c r="C44" s="168" t="s">
        <v>203</v>
      </c>
      <c r="D44" s="176" t="s">
        <v>46</v>
      </c>
      <c r="E44" s="177">
        <v>4660</v>
      </c>
      <c r="F44" s="178">
        <f t="shared" si="0"/>
        <v>9320</v>
      </c>
      <c r="G44" s="178">
        <f t="shared" si="2"/>
        <v>5310</v>
      </c>
      <c r="H44" s="171" t="s">
        <v>102</v>
      </c>
      <c r="I44" s="173">
        <v>239.7</v>
      </c>
      <c r="J44" s="357">
        <f t="shared" si="6"/>
        <v>4.9937499999999996E-2</v>
      </c>
      <c r="K44" s="173">
        <f t="shared" si="4"/>
        <v>2735</v>
      </c>
      <c r="L44" s="174" cm="1">
        <f t="array" ref="L44">TRUNC(
  IF($O44&lt;&gt;0,
    _xlfn.LET(
      _xlpm.size, VALUE(SUBSTITUTE(MID($C44, FIND("_",$C44, LEN($C44)-5)+1, LEN($C44)), "A","")),
      _xlpm.base_val, _xlfn.IFS(_xlpm.size&lt;=50, 1/6, _xlpm.size&lt;=100, 1/4, _xlpm.size&lt;=150, 1/3, _xlpm.size&lt;=200, 1/2, TRUE, 0),
      IF(ISNUMBER(SEARCH("벽체", $C44)), _xlpm.base_val * 2, _xlpm.base_val)
    ),
  0),
2)</f>
        <v>0.25</v>
      </c>
      <c r="M44" s="175">
        <f t="shared" si="5"/>
        <v>1080</v>
      </c>
      <c r="N44" s="447" t="s">
        <v>440</v>
      </c>
      <c r="O44" s="568" t="s">
        <v>184</v>
      </c>
      <c r="P44" s="569"/>
      <c r="Q44" s="12" t="str">
        <f t="shared" si="1"/>
        <v>입상_SU_충진재|입상_SU_충진재_75A|75A</v>
      </c>
      <c r="S44" s="104"/>
      <c r="T44" s="107"/>
      <c r="U44" s="107"/>
    </row>
    <row r="45" spans="1:21">
      <c r="A45" s="494">
        <f t="shared" si="3"/>
        <v>37</v>
      </c>
      <c r="B45" s="474" t="s">
        <v>57</v>
      </c>
      <c r="C45" s="168" t="s">
        <v>203</v>
      </c>
      <c r="D45" s="176" t="s">
        <v>47</v>
      </c>
      <c r="E45" s="177">
        <v>5010</v>
      </c>
      <c r="F45" s="178">
        <f t="shared" si="0"/>
        <v>10020</v>
      </c>
      <c r="G45" s="178">
        <f t="shared" si="2"/>
        <v>5710</v>
      </c>
      <c r="H45" s="171" t="s">
        <v>102</v>
      </c>
      <c r="I45" s="173">
        <v>239.7</v>
      </c>
      <c r="J45" s="357">
        <f t="shared" si="6"/>
        <v>4.9937499999999996E-2</v>
      </c>
      <c r="K45" s="173">
        <f t="shared" si="4"/>
        <v>2735</v>
      </c>
      <c r="L45" s="174" cm="1">
        <f t="array" ref="L45">TRUNC(
  IF($O45&lt;&gt;0,
    _xlfn.LET(
      _xlpm.size, VALUE(SUBSTITUTE(MID($C45, FIND("_",$C45, LEN($C45)-5)+1, LEN($C45)), "A","")),
      _xlpm.base_val, _xlfn.IFS(_xlpm.size&lt;=50, 1/6, _xlpm.size&lt;=100, 1/4, _xlpm.size&lt;=150, 1/3, _xlpm.size&lt;=200, 1/2, TRUE, 0),
      IF(ISNUMBER(SEARCH("벽체", $C45)), _xlpm.base_val * 2, _xlpm.base_val)
    ),
  0),
2)</f>
        <v>0.25</v>
      </c>
      <c r="M45" s="175">
        <f t="shared" si="5"/>
        <v>1080</v>
      </c>
      <c r="N45" s="447" t="s">
        <v>440</v>
      </c>
      <c r="O45" s="568" t="s">
        <v>184</v>
      </c>
      <c r="P45" s="569"/>
      <c r="Q45" s="12" t="str">
        <f t="shared" si="1"/>
        <v>입상_SU_충진재|입상_SU_충진재_75A|100A</v>
      </c>
      <c r="S45" s="104"/>
      <c r="T45" s="107"/>
      <c r="U45" s="107"/>
    </row>
    <row r="46" spans="1:21">
      <c r="A46" s="494">
        <f t="shared" si="3"/>
        <v>38</v>
      </c>
      <c r="B46" s="474" t="s">
        <v>57</v>
      </c>
      <c r="C46" s="168" t="s">
        <v>203</v>
      </c>
      <c r="D46" s="176" t="s">
        <v>48</v>
      </c>
      <c r="E46" s="177">
        <v>5750</v>
      </c>
      <c r="F46" s="178">
        <f t="shared" si="0"/>
        <v>11500</v>
      </c>
      <c r="G46" s="178">
        <f t="shared" si="2"/>
        <v>6550</v>
      </c>
      <c r="H46" s="171" t="s">
        <v>102</v>
      </c>
      <c r="I46" s="173">
        <v>239.7</v>
      </c>
      <c r="J46" s="357">
        <f t="shared" si="6"/>
        <v>4.9937499999999996E-2</v>
      </c>
      <c r="K46" s="173">
        <f t="shared" si="4"/>
        <v>2735</v>
      </c>
      <c r="L46" s="174" cm="1">
        <f t="array" ref="L46">TRUNC(
  IF($O46&lt;&gt;0,
    _xlfn.LET(
      _xlpm.size, VALUE(SUBSTITUTE(MID($C46, FIND("_",$C46, LEN($C46)-5)+1, LEN($C46)), "A","")),
      _xlpm.base_val, _xlfn.IFS(_xlpm.size&lt;=50, 1/6, _xlpm.size&lt;=100, 1/4, _xlpm.size&lt;=150, 1/3, _xlpm.size&lt;=200, 1/2, TRUE, 0),
      IF(ISNUMBER(SEARCH("벽체", $C46)), _xlpm.base_val * 2, _xlpm.base_val)
    ),
  0),
2)</f>
        <v>0.25</v>
      </c>
      <c r="M46" s="175">
        <f t="shared" si="5"/>
        <v>1080</v>
      </c>
      <c r="N46" s="447" t="s">
        <v>440</v>
      </c>
      <c r="O46" s="568" t="s">
        <v>184</v>
      </c>
      <c r="P46" s="569"/>
      <c r="Q46" s="12" t="str">
        <f t="shared" si="1"/>
        <v>입상_SU_충진재|입상_SU_충진재_75A|125A</v>
      </c>
      <c r="S46" s="104"/>
      <c r="T46" s="107"/>
      <c r="U46" s="107"/>
    </row>
    <row r="47" spans="1:21">
      <c r="A47" s="494">
        <f t="shared" si="3"/>
        <v>39</v>
      </c>
      <c r="B47" s="474" t="s">
        <v>57</v>
      </c>
      <c r="C47" s="168" t="s">
        <v>203</v>
      </c>
      <c r="D47" s="176" t="s">
        <v>49</v>
      </c>
      <c r="E47" s="177">
        <v>6410</v>
      </c>
      <c r="F47" s="178">
        <f t="shared" si="0"/>
        <v>12820</v>
      </c>
      <c r="G47" s="178">
        <f t="shared" si="2"/>
        <v>7300</v>
      </c>
      <c r="H47" s="171" t="s">
        <v>102</v>
      </c>
      <c r="I47" s="173">
        <v>239.7</v>
      </c>
      <c r="J47" s="357">
        <f t="shared" si="6"/>
        <v>4.9937499999999996E-2</v>
      </c>
      <c r="K47" s="173">
        <f t="shared" si="4"/>
        <v>2735</v>
      </c>
      <c r="L47" s="174" cm="1">
        <f t="array" ref="L47">TRUNC(
  IF($O47&lt;&gt;0,
    _xlfn.LET(
      _xlpm.size, VALUE(SUBSTITUTE(MID($C47, FIND("_",$C47, LEN($C47)-5)+1, LEN($C47)), "A","")),
      _xlpm.base_val, _xlfn.IFS(_xlpm.size&lt;=50, 1/6, _xlpm.size&lt;=100, 1/4, _xlpm.size&lt;=150, 1/3, _xlpm.size&lt;=200, 1/2, TRUE, 0),
      IF(ISNUMBER(SEARCH("벽체", $C47)), _xlpm.base_val * 2, _xlpm.base_val)
    ),
  0),
2)</f>
        <v>0.25</v>
      </c>
      <c r="M47" s="175">
        <f t="shared" si="5"/>
        <v>1080</v>
      </c>
      <c r="N47" s="447" t="s">
        <v>440</v>
      </c>
      <c r="O47" s="568" t="s">
        <v>184</v>
      </c>
      <c r="P47" s="569"/>
      <c r="Q47" s="12" t="str">
        <f t="shared" si="1"/>
        <v>입상_SU_충진재|입상_SU_충진재_75A|150A</v>
      </c>
      <c r="S47" s="104"/>
      <c r="T47" s="107"/>
      <c r="U47" s="107"/>
    </row>
    <row r="48" spans="1:21">
      <c r="A48" s="494">
        <f t="shared" si="3"/>
        <v>40</v>
      </c>
      <c r="B48" s="474" t="s">
        <v>57</v>
      </c>
      <c r="C48" s="168" t="s">
        <v>204</v>
      </c>
      <c r="D48" s="176" t="s">
        <v>47</v>
      </c>
      <c r="E48" s="177">
        <v>5180</v>
      </c>
      <c r="F48" s="178">
        <f t="shared" si="0"/>
        <v>10360</v>
      </c>
      <c r="G48" s="178">
        <f t="shared" si="2"/>
        <v>5900</v>
      </c>
      <c r="H48" s="171" t="s">
        <v>102</v>
      </c>
      <c r="I48" s="173">
        <v>279.3</v>
      </c>
      <c r="J48" s="357">
        <f t="shared" si="6"/>
        <v>5.8187500000000003E-2</v>
      </c>
      <c r="K48" s="173">
        <f t="shared" si="4"/>
        <v>3187</v>
      </c>
      <c r="L48" s="174" cm="1">
        <f t="array" ref="L48">TRUNC(
  IF($O48&lt;&gt;0,
    _xlfn.LET(
      _xlpm.size, VALUE(SUBSTITUTE(MID($C48, FIND("_",$C48, LEN($C48)-5)+1, LEN($C48)), "A","")),
      _xlpm.base_val, _xlfn.IFS(_xlpm.size&lt;=50, 1/6, _xlpm.size&lt;=100, 1/4, _xlpm.size&lt;=150, 1/3, _xlpm.size&lt;=200, 1/2, TRUE, 0),
      IF(ISNUMBER(SEARCH("벽체", $C48)), _xlpm.base_val * 2, _xlpm.base_val)
    ),
  0),
2)</f>
        <v>0.25</v>
      </c>
      <c r="M48" s="175">
        <f t="shared" si="5"/>
        <v>1080</v>
      </c>
      <c r="N48" s="447" t="s">
        <v>440</v>
      </c>
      <c r="O48" s="568" t="s">
        <v>184</v>
      </c>
      <c r="P48" s="569"/>
      <c r="Q48" s="12" t="str">
        <f t="shared" si="1"/>
        <v>입상_SU_충진재|입상_SU_충진재_80A|100A</v>
      </c>
      <c r="S48" s="104"/>
      <c r="T48" s="107"/>
      <c r="U48" s="107"/>
    </row>
    <row r="49" spans="1:21">
      <c r="A49" s="494">
        <f t="shared" si="3"/>
        <v>41</v>
      </c>
      <c r="B49" s="474" t="s">
        <v>57</v>
      </c>
      <c r="C49" s="168" t="s">
        <v>204</v>
      </c>
      <c r="D49" s="176" t="s">
        <v>48</v>
      </c>
      <c r="E49" s="177">
        <v>5890</v>
      </c>
      <c r="F49" s="178">
        <f t="shared" si="0"/>
        <v>11780</v>
      </c>
      <c r="G49" s="178">
        <f t="shared" si="2"/>
        <v>6710</v>
      </c>
      <c r="H49" s="171" t="s">
        <v>102</v>
      </c>
      <c r="I49" s="173">
        <v>279.3</v>
      </c>
      <c r="J49" s="357">
        <f t="shared" si="6"/>
        <v>5.8187500000000003E-2</v>
      </c>
      <c r="K49" s="173">
        <f t="shared" si="4"/>
        <v>3187</v>
      </c>
      <c r="L49" s="174" cm="1">
        <f t="array" ref="L49">TRUNC(
  IF($O49&lt;&gt;0,
    _xlfn.LET(
      _xlpm.size, VALUE(SUBSTITUTE(MID($C49, FIND("_",$C49, LEN($C49)-5)+1, LEN($C49)), "A","")),
      _xlpm.base_val, _xlfn.IFS(_xlpm.size&lt;=50, 1/6, _xlpm.size&lt;=100, 1/4, _xlpm.size&lt;=150, 1/3, _xlpm.size&lt;=200, 1/2, TRUE, 0),
      IF(ISNUMBER(SEARCH("벽체", $C49)), _xlpm.base_val * 2, _xlpm.base_val)
    ),
  0),
2)</f>
        <v>0.25</v>
      </c>
      <c r="M49" s="175">
        <f t="shared" si="5"/>
        <v>1080</v>
      </c>
      <c r="N49" s="447" t="s">
        <v>440</v>
      </c>
      <c r="O49" s="568" t="s">
        <v>184</v>
      </c>
      <c r="P49" s="569"/>
      <c r="Q49" s="12" t="str">
        <f t="shared" si="1"/>
        <v>입상_SU_충진재|입상_SU_충진재_80A|125A</v>
      </c>
      <c r="S49" s="104"/>
      <c r="T49" s="107"/>
      <c r="U49" s="107"/>
    </row>
    <row r="50" spans="1:21">
      <c r="A50" s="494">
        <f t="shared" si="3"/>
        <v>42</v>
      </c>
      <c r="B50" s="474" t="s">
        <v>57</v>
      </c>
      <c r="C50" s="168" t="s">
        <v>204</v>
      </c>
      <c r="D50" s="176" t="s">
        <v>49</v>
      </c>
      <c r="E50" s="177">
        <v>6540</v>
      </c>
      <c r="F50" s="178">
        <f t="shared" si="0"/>
        <v>13080</v>
      </c>
      <c r="G50" s="178">
        <f t="shared" si="2"/>
        <v>7450</v>
      </c>
      <c r="H50" s="171" t="s">
        <v>102</v>
      </c>
      <c r="I50" s="173">
        <v>279.3</v>
      </c>
      <c r="J50" s="357">
        <f t="shared" si="6"/>
        <v>5.8187500000000003E-2</v>
      </c>
      <c r="K50" s="173">
        <f t="shared" si="4"/>
        <v>3187</v>
      </c>
      <c r="L50" s="174" cm="1">
        <f t="array" ref="L50">TRUNC(
  IF($O50&lt;&gt;0,
    _xlfn.LET(
      _xlpm.size, VALUE(SUBSTITUTE(MID($C50, FIND("_",$C50, LEN($C50)-5)+1, LEN($C50)), "A","")),
      _xlpm.base_val, _xlfn.IFS(_xlpm.size&lt;=50, 1/6, _xlpm.size&lt;=100, 1/4, _xlpm.size&lt;=150, 1/3, _xlpm.size&lt;=200, 1/2, TRUE, 0),
      IF(ISNUMBER(SEARCH("벽체", $C50)), _xlpm.base_val * 2, _xlpm.base_val)
    ),
  0),
2)</f>
        <v>0.25</v>
      </c>
      <c r="M50" s="175">
        <f t="shared" si="5"/>
        <v>1080</v>
      </c>
      <c r="N50" s="447" t="s">
        <v>440</v>
      </c>
      <c r="O50" s="568" t="s">
        <v>184</v>
      </c>
      <c r="P50" s="569"/>
      <c r="Q50" s="12" t="str">
        <f t="shared" si="1"/>
        <v>입상_SU_충진재|입상_SU_충진재_80A|150A</v>
      </c>
      <c r="S50" s="104"/>
      <c r="T50" s="107"/>
      <c r="U50" s="107"/>
    </row>
    <row r="51" spans="1:21">
      <c r="A51" s="494">
        <f t="shared" si="3"/>
        <v>43</v>
      </c>
      <c r="B51" s="474" t="s">
        <v>57</v>
      </c>
      <c r="C51" s="168" t="s">
        <v>205</v>
      </c>
      <c r="D51" s="176" t="s">
        <v>48</v>
      </c>
      <c r="E51" s="177">
        <v>6140</v>
      </c>
      <c r="F51" s="178">
        <f t="shared" si="0"/>
        <v>12280</v>
      </c>
      <c r="G51" s="178">
        <f t="shared" si="2"/>
        <v>6990</v>
      </c>
      <c r="H51" s="171" t="s">
        <v>102</v>
      </c>
      <c r="I51" s="173">
        <v>359.1</v>
      </c>
      <c r="J51" s="357">
        <f t="shared" si="6"/>
        <v>7.4812500000000004E-2</v>
      </c>
      <c r="K51" s="173">
        <f t="shared" si="4"/>
        <v>4098</v>
      </c>
      <c r="L51" s="174" cm="1">
        <f t="array" ref="L51">TRUNC(
  IF($O51&lt;&gt;0,
    _xlfn.LET(
      _xlpm.size, VALUE(SUBSTITUTE(MID($C51, FIND("_",$C51, LEN($C51)-5)+1, LEN($C51)), "A","")),
      _xlpm.base_val, _xlfn.IFS(_xlpm.size&lt;=50, 1/6, _xlpm.size&lt;=100, 1/4, _xlpm.size&lt;=150, 1/3, _xlpm.size&lt;=200, 1/2, TRUE, 0),
      IF(ISNUMBER(SEARCH("벽체", $C51)), _xlpm.base_val * 2, _xlpm.base_val)
    ),
  0),
2)</f>
        <v>0.25</v>
      </c>
      <c r="M51" s="175">
        <f t="shared" si="5"/>
        <v>1080</v>
      </c>
      <c r="N51" s="447" t="s">
        <v>440</v>
      </c>
      <c r="O51" s="568" t="s">
        <v>184</v>
      </c>
      <c r="P51" s="569"/>
      <c r="Q51" s="12" t="str">
        <f t="shared" si="1"/>
        <v>입상_SU_충진재|입상_SU_충진재_100A|125A</v>
      </c>
    </row>
    <row r="52" spans="1:21">
      <c r="A52" s="494">
        <f t="shared" si="3"/>
        <v>44</v>
      </c>
      <c r="B52" s="474" t="s">
        <v>57</v>
      </c>
      <c r="C52" s="168" t="s">
        <v>205</v>
      </c>
      <c r="D52" s="176" t="s">
        <v>49</v>
      </c>
      <c r="E52" s="177">
        <v>6760</v>
      </c>
      <c r="F52" s="178">
        <f t="shared" si="0"/>
        <v>13520</v>
      </c>
      <c r="G52" s="178">
        <f t="shared" si="2"/>
        <v>7700</v>
      </c>
      <c r="H52" s="171" t="s">
        <v>102</v>
      </c>
      <c r="I52" s="173">
        <v>359.1</v>
      </c>
      <c r="J52" s="357">
        <f t="shared" si="6"/>
        <v>7.4812500000000004E-2</v>
      </c>
      <c r="K52" s="173">
        <f t="shared" si="4"/>
        <v>4098</v>
      </c>
      <c r="L52" s="174" cm="1">
        <f t="array" ref="L52">TRUNC(
  IF($O52&lt;&gt;0,
    _xlfn.LET(
      _xlpm.size, VALUE(SUBSTITUTE(MID($C52, FIND("_",$C52, LEN($C52)-5)+1, LEN($C52)), "A","")),
      _xlpm.base_val, _xlfn.IFS(_xlpm.size&lt;=50, 1/6, _xlpm.size&lt;=100, 1/4, _xlpm.size&lt;=150, 1/3, _xlpm.size&lt;=200, 1/2, TRUE, 0),
      IF(ISNUMBER(SEARCH("벽체", $C52)), _xlpm.base_val * 2, _xlpm.base_val)
    ),
  0),
2)</f>
        <v>0.25</v>
      </c>
      <c r="M52" s="175">
        <f t="shared" si="5"/>
        <v>1080</v>
      </c>
      <c r="N52" s="447" t="s">
        <v>440</v>
      </c>
      <c r="O52" s="568" t="s">
        <v>184</v>
      </c>
      <c r="P52" s="569"/>
      <c r="Q52" s="12" t="str">
        <f t="shared" si="1"/>
        <v>입상_SU_충진재|입상_SU_충진재_100A|150A</v>
      </c>
      <c r="S52" s="104"/>
      <c r="T52" s="107"/>
      <c r="U52" s="107"/>
    </row>
    <row r="53" spans="1:21">
      <c r="A53" s="494">
        <f t="shared" si="3"/>
        <v>45</v>
      </c>
      <c r="B53" s="474" t="s">
        <v>57</v>
      </c>
      <c r="C53" s="168" t="s">
        <v>205</v>
      </c>
      <c r="D53" s="176" t="s">
        <v>181</v>
      </c>
      <c r="E53" s="177">
        <v>8650</v>
      </c>
      <c r="F53" s="178">
        <f t="shared" si="0"/>
        <v>17300</v>
      </c>
      <c r="G53" s="178">
        <f t="shared" si="2"/>
        <v>9860</v>
      </c>
      <c r="H53" s="171" t="s">
        <v>102</v>
      </c>
      <c r="I53" s="173">
        <v>359.1</v>
      </c>
      <c r="J53" s="357">
        <f t="shared" si="6"/>
        <v>7.4812500000000004E-2</v>
      </c>
      <c r="K53" s="173">
        <f t="shared" si="4"/>
        <v>4098</v>
      </c>
      <c r="L53" s="174" cm="1">
        <f t="array" ref="L53">TRUNC(
  IF($O53&lt;&gt;0,
    _xlfn.LET(
      _xlpm.size, VALUE(SUBSTITUTE(MID($C53, FIND("_",$C53, LEN($C53)-5)+1, LEN($C53)), "A","")),
      _xlpm.base_val, _xlfn.IFS(_xlpm.size&lt;=50, 1/6, _xlpm.size&lt;=100, 1/4, _xlpm.size&lt;=150, 1/3, _xlpm.size&lt;=200, 1/2, TRUE, 0),
      IF(ISNUMBER(SEARCH("벽체", $C53)), _xlpm.base_val * 2, _xlpm.base_val)
    ),
  0),
2)</f>
        <v>0.25</v>
      </c>
      <c r="M53" s="175">
        <f t="shared" si="5"/>
        <v>1080</v>
      </c>
      <c r="N53" s="447" t="s">
        <v>440</v>
      </c>
      <c r="O53" s="568" t="s">
        <v>184</v>
      </c>
      <c r="P53" s="569"/>
      <c r="Q53" s="12" t="str">
        <f t="shared" si="1"/>
        <v>입상_SU_충진재|입상_SU_충진재_100A|200A(외경 234.1mm 이하)</v>
      </c>
      <c r="S53" s="104"/>
      <c r="T53" s="107"/>
      <c r="U53" s="107"/>
    </row>
    <row r="54" spans="1:21" ht="17.100000000000001" customHeight="1">
      <c r="A54" s="494">
        <f t="shared" si="3"/>
        <v>46</v>
      </c>
      <c r="B54" s="473" t="s">
        <v>207</v>
      </c>
      <c r="C54" s="163" t="s">
        <v>215</v>
      </c>
      <c r="D54" s="36" t="s">
        <v>46</v>
      </c>
      <c r="E54" s="179">
        <v>4940</v>
      </c>
      <c r="F54" s="180">
        <f t="shared" si="0"/>
        <v>9880</v>
      </c>
      <c r="G54" s="120">
        <f t="shared" si="2"/>
        <v>5630</v>
      </c>
      <c r="H54" s="121" t="s">
        <v>411</v>
      </c>
      <c r="I54" s="164">
        <v>66.900000000000006</v>
      </c>
      <c r="J54" s="361">
        <f t="shared" si="6"/>
        <v>1.3937500000000002E-2</v>
      </c>
      <c r="K54" s="165">
        <f t="shared" si="4"/>
        <v>381</v>
      </c>
      <c r="L54" s="166"/>
      <c r="M54" s="167"/>
      <c r="N54" s="445"/>
      <c r="O54" s="582"/>
      <c r="P54" s="583"/>
      <c r="Q54" s="12" t="str">
        <f t="shared" si="1"/>
        <v>입상_SU_고정구_일체형|입상_SU_고정구_일체형_20A|75A</v>
      </c>
      <c r="S54" s="104"/>
      <c r="T54" s="107"/>
      <c r="U54" s="107"/>
    </row>
    <row r="55" spans="1:21">
      <c r="A55" s="494">
        <f t="shared" si="3"/>
        <v>47</v>
      </c>
      <c r="B55" s="473" t="s">
        <v>206</v>
      </c>
      <c r="C55" s="163" t="s">
        <v>208</v>
      </c>
      <c r="D55" s="36" t="s">
        <v>47</v>
      </c>
      <c r="E55" s="179">
        <v>4940</v>
      </c>
      <c r="F55" s="180">
        <f t="shared" si="0"/>
        <v>9880</v>
      </c>
      <c r="G55" s="120">
        <f t="shared" si="2"/>
        <v>5630</v>
      </c>
      <c r="H55" s="121" t="s">
        <v>411</v>
      </c>
      <c r="I55" s="164">
        <v>66.900000000000006</v>
      </c>
      <c r="J55" s="361">
        <f t="shared" si="6"/>
        <v>1.3937500000000002E-2</v>
      </c>
      <c r="K55" s="165">
        <f t="shared" si="4"/>
        <v>381</v>
      </c>
      <c r="L55" s="166"/>
      <c r="M55" s="167"/>
      <c r="N55" s="445"/>
      <c r="O55" s="582"/>
      <c r="P55" s="583"/>
      <c r="Q55" s="12" t="str">
        <f t="shared" si="1"/>
        <v>입상_SU_고정구_일체형|입상_SU_고정구_일체형_20A|100A</v>
      </c>
      <c r="S55" s="104"/>
      <c r="T55" s="107"/>
      <c r="U55" s="107"/>
    </row>
    <row r="56" spans="1:21">
      <c r="A56" s="494">
        <f t="shared" si="3"/>
        <v>48</v>
      </c>
      <c r="B56" s="473" t="s">
        <v>206</v>
      </c>
      <c r="C56" s="163" t="s">
        <v>209</v>
      </c>
      <c r="D56" s="36" t="s">
        <v>46</v>
      </c>
      <c r="E56" s="179">
        <v>4940</v>
      </c>
      <c r="F56" s="180">
        <f t="shared" si="0"/>
        <v>9880</v>
      </c>
      <c r="G56" s="120">
        <f t="shared" si="2"/>
        <v>5630</v>
      </c>
      <c r="H56" s="121" t="s">
        <v>411</v>
      </c>
      <c r="I56" s="164">
        <v>83.9</v>
      </c>
      <c r="J56" s="361">
        <f t="shared" si="6"/>
        <v>1.7479166666666667E-2</v>
      </c>
      <c r="K56" s="165">
        <f t="shared" si="4"/>
        <v>478</v>
      </c>
      <c r="L56" s="166"/>
      <c r="M56" s="167"/>
      <c r="N56" s="445"/>
      <c r="O56" s="582"/>
      <c r="P56" s="583"/>
      <c r="Q56" s="12" t="str">
        <f t="shared" si="1"/>
        <v>입상_SU_고정구_일체형|입상_SU_고정구_일체형_25A|75A</v>
      </c>
      <c r="S56" s="104"/>
      <c r="T56" s="107"/>
      <c r="U56" s="107"/>
    </row>
    <row r="57" spans="1:21">
      <c r="A57" s="494">
        <f t="shared" si="3"/>
        <v>49</v>
      </c>
      <c r="B57" s="473" t="s">
        <v>206</v>
      </c>
      <c r="C57" s="163" t="s">
        <v>209</v>
      </c>
      <c r="D57" s="36" t="s">
        <v>47</v>
      </c>
      <c r="E57" s="179">
        <v>4940</v>
      </c>
      <c r="F57" s="180">
        <f t="shared" si="0"/>
        <v>9880</v>
      </c>
      <c r="G57" s="120">
        <f t="shared" si="2"/>
        <v>5630</v>
      </c>
      <c r="H57" s="121" t="s">
        <v>411</v>
      </c>
      <c r="I57" s="164">
        <v>83.9</v>
      </c>
      <c r="J57" s="361">
        <f t="shared" si="6"/>
        <v>1.7479166666666667E-2</v>
      </c>
      <c r="K57" s="165">
        <f t="shared" si="4"/>
        <v>478</v>
      </c>
      <c r="L57" s="166"/>
      <c r="M57" s="167"/>
      <c r="N57" s="445"/>
      <c r="O57" s="582"/>
      <c r="P57" s="583"/>
      <c r="Q57" s="12" t="str">
        <f t="shared" si="1"/>
        <v>입상_SU_고정구_일체형|입상_SU_고정구_일체형_25A|100A</v>
      </c>
      <c r="S57" s="104"/>
      <c r="T57" s="107"/>
      <c r="U57" s="107"/>
    </row>
    <row r="58" spans="1:21" ht="17.100000000000001" customHeight="1">
      <c r="A58" s="494">
        <f t="shared" si="3"/>
        <v>50</v>
      </c>
      <c r="B58" s="473" t="s">
        <v>206</v>
      </c>
      <c r="C58" s="163" t="s">
        <v>210</v>
      </c>
      <c r="D58" s="36" t="s">
        <v>46</v>
      </c>
      <c r="E58" s="179">
        <v>4940</v>
      </c>
      <c r="F58" s="180">
        <f t="shared" si="0"/>
        <v>9880</v>
      </c>
      <c r="G58" s="120">
        <f t="shared" si="2"/>
        <v>5630</v>
      </c>
      <c r="H58" s="121" t="s">
        <v>411</v>
      </c>
      <c r="I58" s="164">
        <v>104.9</v>
      </c>
      <c r="J58" s="361">
        <f t="shared" si="6"/>
        <v>2.1854166666666668E-2</v>
      </c>
      <c r="K58" s="165">
        <f t="shared" si="4"/>
        <v>598</v>
      </c>
      <c r="L58" s="166"/>
      <c r="M58" s="167"/>
      <c r="N58" s="445"/>
      <c r="O58" s="582"/>
      <c r="P58" s="583"/>
      <c r="Q58" s="12" t="str">
        <f t="shared" si="1"/>
        <v>입상_SU_고정구_일체형|입상_SU_고정구_일체형_30A|75A</v>
      </c>
      <c r="S58" s="104"/>
      <c r="T58" s="107"/>
      <c r="U58" s="107"/>
    </row>
    <row r="59" spans="1:21">
      <c r="A59" s="494">
        <f t="shared" si="3"/>
        <v>51</v>
      </c>
      <c r="B59" s="473" t="s">
        <v>206</v>
      </c>
      <c r="C59" s="163" t="s">
        <v>210</v>
      </c>
      <c r="D59" s="36" t="s">
        <v>47</v>
      </c>
      <c r="E59" s="179">
        <v>4940</v>
      </c>
      <c r="F59" s="180">
        <f t="shared" si="0"/>
        <v>9880</v>
      </c>
      <c r="G59" s="120">
        <f t="shared" si="2"/>
        <v>5630</v>
      </c>
      <c r="H59" s="121" t="s">
        <v>411</v>
      </c>
      <c r="I59" s="164">
        <v>104.9</v>
      </c>
      <c r="J59" s="361">
        <f t="shared" si="6"/>
        <v>2.1854166666666668E-2</v>
      </c>
      <c r="K59" s="165">
        <f t="shared" si="4"/>
        <v>598</v>
      </c>
      <c r="L59" s="166"/>
      <c r="M59" s="167"/>
      <c r="N59" s="445"/>
      <c r="O59" s="582"/>
      <c r="P59" s="583"/>
      <c r="Q59" s="12" t="str">
        <f t="shared" si="1"/>
        <v>입상_SU_고정구_일체형|입상_SU_고정구_일체형_30A|100A</v>
      </c>
      <c r="S59" s="104"/>
      <c r="T59" s="107"/>
      <c r="U59" s="107"/>
    </row>
    <row r="60" spans="1:21" ht="17.100000000000001" customHeight="1">
      <c r="A60" s="494">
        <f t="shared" si="3"/>
        <v>52</v>
      </c>
      <c r="B60" s="473" t="s">
        <v>206</v>
      </c>
      <c r="C60" s="163" t="s">
        <v>211</v>
      </c>
      <c r="D60" s="36" t="s">
        <v>46</v>
      </c>
      <c r="E60" s="179">
        <v>5230</v>
      </c>
      <c r="F60" s="180">
        <f t="shared" si="0"/>
        <v>10460</v>
      </c>
      <c r="G60" s="120">
        <f t="shared" si="2"/>
        <v>5960</v>
      </c>
      <c r="H60" s="121" t="s">
        <v>411</v>
      </c>
      <c r="I60" s="164">
        <v>134.1</v>
      </c>
      <c r="J60" s="361">
        <f t="shared" si="6"/>
        <v>2.7937500000000001E-2</v>
      </c>
      <c r="K60" s="165">
        <f t="shared" si="4"/>
        <v>765</v>
      </c>
      <c r="L60" s="166"/>
      <c r="M60" s="167"/>
      <c r="N60" s="445"/>
      <c r="O60" s="582"/>
      <c r="P60" s="583"/>
      <c r="Q60" s="12" t="str">
        <f t="shared" si="1"/>
        <v>입상_SU_고정구_일체형|입상_SU_고정구_일체형_40A|75A</v>
      </c>
      <c r="S60" s="104"/>
      <c r="T60" s="107"/>
      <c r="U60" s="107"/>
    </row>
    <row r="61" spans="1:21">
      <c r="A61" s="494">
        <f t="shared" si="3"/>
        <v>53</v>
      </c>
      <c r="B61" s="473" t="s">
        <v>206</v>
      </c>
      <c r="C61" s="163" t="s">
        <v>211</v>
      </c>
      <c r="D61" s="36" t="s">
        <v>47</v>
      </c>
      <c r="E61" s="179">
        <v>5230</v>
      </c>
      <c r="F61" s="180">
        <f t="shared" si="0"/>
        <v>10460</v>
      </c>
      <c r="G61" s="120">
        <f t="shared" si="2"/>
        <v>5960</v>
      </c>
      <c r="H61" s="121" t="s">
        <v>411</v>
      </c>
      <c r="I61" s="164">
        <v>134.1</v>
      </c>
      <c r="J61" s="361">
        <f t="shared" si="6"/>
        <v>2.7937500000000001E-2</v>
      </c>
      <c r="K61" s="165">
        <f t="shared" si="4"/>
        <v>765</v>
      </c>
      <c r="L61" s="166"/>
      <c r="M61" s="167"/>
      <c r="N61" s="445"/>
      <c r="O61" s="582"/>
      <c r="P61" s="583"/>
      <c r="Q61" s="12" t="str">
        <f t="shared" si="1"/>
        <v>입상_SU_고정구_일체형|입상_SU_고정구_일체형_40A|100A</v>
      </c>
      <c r="S61" s="104"/>
      <c r="T61" s="107"/>
      <c r="U61" s="107"/>
    </row>
    <row r="62" spans="1:21" ht="17.100000000000001" customHeight="1">
      <c r="A62" s="494">
        <f t="shared" si="3"/>
        <v>54</v>
      </c>
      <c r="B62" s="473" t="s">
        <v>206</v>
      </c>
      <c r="C62" s="163" t="s">
        <v>212</v>
      </c>
      <c r="D62" s="36" t="s">
        <v>46</v>
      </c>
      <c r="E62" s="179">
        <v>5230</v>
      </c>
      <c r="F62" s="180">
        <f t="shared" si="0"/>
        <v>10460</v>
      </c>
      <c r="G62" s="120">
        <f t="shared" si="2"/>
        <v>5960</v>
      </c>
      <c r="H62" s="121" t="s">
        <v>411</v>
      </c>
      <c r="I62" s="164">
        <v>152.69999999999999</v>
      </c>
      <c r="J62" s="361">
        <f t="shared" si="6"/>
        <v>3.18125E-2</v>
      </c>
      <c r="K62" s="165">
        <f t="shared" si="4"/>
        <v>871</v>
      </c>
      <c r="L62" s="166"/>
      <c r="M62" s="167"/>
      <c r="N62" s="445"/>
      <c r="O62" s="582"/>
      <c r="P62" s="583"/>
      <c r="Q62" s="12" t="str">
        <f t="shared" si="1"/>
        <v>입상_SU_고정구_일체형|입상_SU_고정구_일체형_50A|75A</v>
      </c>
      <c r="S62" s="104"/>
      <c r="T62" s="107"/>
      <c r="U62" s="107"/>
    </row>
    <row r="63" spans="1:21">
      <c r="A63" s="494">
        <f t="shared" si="3"/>
        <v>55</v>
      </c>
      <c r="B63" s="473" t="s">
        <v>206</v>
      </c>
      <c r="C63" s="163" t="s">
        <v>212</v>
      </c>
      <c r="D63" s="36" t="s">
        <v>47</v>
      </c>
      <c r="E63" s="179">
        <v>5230</v>
      </c>
      <c r="F63" s="180">
        <f t="shared" si="0"/>
        <v>10460</v>
      </c>
      <c r="G63" s="120">
        <f t="shared" si="2"/>
        <v>5960</v>
      </c>
      <c r="H63" s="121" t="s">
        <v>411</v>
      </c>
      <c r="I63" s="164">
        <v>152.69999999999999</v>
      </c>
      <c r="J63" s="361">
        <f t="shared" si="6"/>
        <v>3.18125E-2</v>
      </c>
      <c r="K63" s="165">
        <f t="shared" si="4"/>
        <v>871</v>
      </c>
      <c r="L63" s="166"/>
      <c r="M63" s="167"/>
      <c r="N63" s="445"/>
      <c r="O63" s="582"/>
      <c r="P63" s="583"/>
      <c r="Q63" s="12" t="str">
        <f t="shared" si="1"/>
        <v>입상_SU_고정구_일체형|입상_SU_고정구_일체형_50A|100A</v>
      </c>
      <c r="S63" s="104"/>
      <c r="T63" s="107"/>
      <c r="U63" s="107"/>
    </row>
    <row r="64" spans="1:21" ht="17.45" customHeight="1">
      <c r="A64" s="494">
        <f t="shared" si="3"/>
        <v>56</v>
      </c>
      <c r="B64" s="473" t="s">
        <v>206</v>
      </c>
      <c r="C64" s="163" t="s">
        <v>212</v>
      </c>
      <c r="D64" s="36" t="s">
        <v>48</v>
      </c>
      <c r="E64" s="179">
        <v>7880</v>
      </c>
      <c r="F64" s="180">
        <f t="shared" si="0"/>
        <v>15760</v>
      </c>
      <c r="G64" s="120">
        <f t="shared" si="2"/>
        <v>8980</v>
      </c>
      <c r="H64" s="121" t="s">
        <v>411</v>
      </c>
      <c r="I64" s="164">
        <v>152.69999999999999</v>
      </c>
      <c r="J64" s="361">
        <f t="shared" si="6"/>
        <v>3.18125E-2</v>
      </c>
      <c r="K64" s="165">
        <f t="shared" si="4"/>
        <v>871</v>
      </c>
      <c r="L64" s="166"/>
      <c r="M64" s="167"/>
      <c r="N64" s="445"/>
      <c r="O64" s="582"/>
      <c r="P64" s="583"/>
      <c r="Q64" s="12" t="str">
        <f t="shared" si="1"/>
        <v>입상_SU_고정구_일체형|입상_SU_고정구_일체형_50A|125A</v>
      </c>
      <c r="S64" s="104"/>
      <c r="T64" s="107"/>
      <c r="U64" s="107"/>
    </row>
    <row r="65" spans="1:21" ht="17.100000000000001" customHeight="1">
      <c r="A65" s="494">
        <f t="shared" si="3"/>
        <v>57</v>
      </c>
      <c r="B65" s="473" t="s">
        <v>206</v>
      </c>
      <c r="C65" s="163" t="s">
        <v>213</v>
      </c>
      <c r="D65" s="36" t="s">
        <v>47</v>
      </c>
      <c r="E65" s="179">
        <v>5630</v>
      </c>
      <c r="F65" s="180">
        <f t="shared" si="0"/>
        <v>11260</v>
      </c>
      <c r="G65" s="120">
        <f t="shared" si="2"/>
        <v>6410</v>
      </c>
      <c r="H65" s="121" t="s">
        <v>411</v>
      </c>
      <c r="I65" s="164">
        <v>190.1</v>
      </c>
      <c r="J65" s="361">
        <f t="shared" si="6"/>
        <v>3.9604166666666663E-2</v>
      </c>
      <c r="K65" s="165">
        <f t="shared" si="4"/>
        <v>1084</v>
      </c>
      <c r="L65" s="166"/>
      <c r="M65" s="167"/>
      <c r="N65" s="445"/>
      <c r="O65" s="582"/>
      <c r="P65" s="583"/>
      <c r="Q65" s="12" t="str">
        <f t="shared" si="1"/>
        <v>입상_SU_고정구_일체형|입상_SU_고정구_일체형_60A|100A</v>
      </c>
      <c r="S65" s="104"/>
      <c r="T65" s="107"/>
      <c r="U65" s="107"/>
    </row>
    <row r="66" spans="1:21">
      <c r="A66" s="494">
        <f t="shared" si="3"/>
        <v>58</v>
      </c>
      <c r="B66" s="473" t="s">
        <v>206</v>
      </c>
      <c r="C66" s="163" t="s">
        <v>213</v>
      </c>
      <c r="D66" s="36" t="s">
        <v>48</v>
      </c>
      <c r="E66" s="179">
        <v>7880</v>
      </c>
      <c r="F66" s="180">
        <f t="shared" si="0"/>
        <v>15760</v>
      </c>
      <c r="G66" s="120">
        <f t="shared" si="2"/>
        <v>8980</v>
      </c>
      <c r="H66" s="121" t="s">
        <v>411</v>
      </c>
      <c r="I66" s="164">
        <v>190.1</v>
      </c>
      <c r="J66" s="361">
        <f t="shared" si="6"/>
        <v>3.9604166666666663E-2</v>
      </c>
      <c r="K66" s="165">
        <f t="shared" si="4"/>
        <v>1084</v>
      </c>
      <c r="L66" s="166"/>
      <c r="M66" s="167"/>
      <c r="N66" s="445"/>
      <c r="O66" s="582"/>
      <c r="P66" s="583"/>
      <c r="Q66" s="12" t="str">
        <f t="shared" si="1"/>
        <v>입상_SU_고정구_일체형|입상_SU_고정구_일체형_60A|125A</v>
      </c>
      <c r="S66" s="104"/>
      <c r="T66" s="107"/>
      <c r="U66" s="107"/>
    </row>
    <row r="67" spans="1:21">
      <c r="A67" s="494">
        <f t="shared" si="3"/>
        <v>59</v>
      </c>
      <c r="B67" s="473" t="s">
        <v>206</v>
      </c>
      <c r="C67" s="163" t="s">
        <v>214</v>
      </c>
      <c r="D67" s="36" t="s">
        <v>117</v>
      </c>
      <c r="E67" s="179">
        <v>7020</v>
      </c>
      <c r="F67" s="180">
        <f t="shared" si="0"/>
        <v>14040</v>
      </c>
      <c r="G67" s="120">
        <f t="shared" si="2"/>
        <v>8000</v>
      </c>
      <c r="H67" s="121" t="s">
        <v>131</v>
      </c>
      <c r="I67" s="164">
        <v>279.3</v>
      </c>
      <c r="J67" s="361">
        <f t="shared" si="6"/>
        <v>3.8791666666666669E-2</v>
      </c>
      <c r="K67" s="165">
        <f t="shared" si="4"/>
        <v>1062</v>
      </c>
      <c r="L67" s="166"/>
      <c r="M67" s="167"/>
      <c r="N67" s="445"/>
      <c r="O67" s="582"/>
      <c r="P67" s="583"/>
      <c r="Q67" s="12" t="str">
        <f t="shared" si="1"/>
        <v>입상_SU_고정구_일체형|입상_SU_고정구_일체형_80A|100A</v>
      </c>
      <c r="S67" s="104"/>
      <c r="T67" s="107"/>
      <c r="U67" s="107"/>
    </row>
    <row r="68" spans="1:21" ht="17.25" thickBot="1">
      <c r="A68" s="495">
        <f t="shared" si="3"/>
        <v>60</v>
      </c>
      <c r="B68" s="475" t="s">
        <v>206</v>
      </c>
      <c r="C68" s="181" t="s">
        <v>214</v>
      </c>
      <c r="D68" s="101" t="s">
        <v>130</v>
      </c>
      <c r="E68" s="182">
        <v>7020</v>
      </c>
      <c r="F68" s="183">
        <f t="shared" si="0"/>
        <v>14040</v>
      </c>
      <c r="G68" s="184">
        <f t="shared" si="2"/>
        <v>8000</v>
      </c>
      <c r="H68" s="185" t="s">
        <v>131</v>
      </c>
      <c r="I68" s="186">
        <v>279.3</v>
      </c>
      <c r="J68" s="362">
        <f t="shared" si="6"/>
        <v>3.8791666666666669E-2</v>
      </c>
      <c r="K68" s="186">
        <f t="shared" si="4"/>
        <v>1062</v>
      </c>
      <c r="L68" s="187"/>
      <c r="M68" s="188"/>
      <c r="N68" s="448"/>
      <c r="O68" s="574"/>
      <c r="P68" s="575"/>
      <c r="Q68" s="12" t="str">
        <f t="shared" si="1"/>
        <v>입상_SU_고정구_일체형|입상_SU_고정구_일체형_80A|125A</v>
      </c>
      <c r="S68" s="104"/>
      <c r="T68" s="107"/>
      <c r="U68" s="107"/>
    </row>
    <row r="69" spans="1:21">
      <c r="A69" s="496">
        <f t="shared" si="3"/>
        <v>61</v>
      </c>
      <c r="B69" s="476" t="s">
        <v>185</v>
      </c>
      <c r="C69" s="189" t="s">
        <v>225</v>
      </c>
      <c r="D69" s="190" t="s">
        <v>46</v>
      </c>
      <c r="E69" s="191">
        <v>2080</v>
      </c>
      <c r="F69" s="192">
        <f t="shared" si="0"/>
        <v>4160</v>
      </c>
      <c r="G69" s="193">
        <f t="shared" si="2"/>
        <v>2370</v>
      </c>
      <c r="H69" s="194"/>
      <c r="I69" s="195"/>
      <c r="J69" s="363"/>
      <c r="K69" s="195"/>
      <c r="L69" s="196"/>
      <c r="M69" s="197"/>
      <c r="N69" s="449"/>
      <c r="O69" s="643"/>
      <c r="P69" s="644"/>
      <c r="Q69" s="12" t="str">
        <f t="shared" si="1"/>
        <v>입상_강관_고정틀|입상_강관_고정틀_15A|75A</v>
      </c>
      <c r="T69" s="107"/>
    </row>
    <row r="70" spans="1:21">
      <c r="A70" s="494">
        <f t="shared" si="3"/>
        <v>62</v>
      </c>
      <c r="B70" s="477" t="s">
        <v>59</v>
      </c>
      <c r="C70" s="50" t="s">
        <v>216</v>
      </c>
      <c r="D70" s="198" t="s">
        <v>46</v>
      </c>
      <c r="E70" s="199">
        <v>2080</v>
      </c>
      <c r="F70" s="200">
        <f t="shared" si="0"/>
        <v>4160</v>
      </c>
      <c r="G70" s="170">
        <f t="shared" si="2"/>
        <v>2370</v>
      </c>
      <c r="H70" s="171"/>
      <c r="I70" s="201"/>
      <c r="J70" s="364"/>
      <c r="K70" s="202"/>
      <c r="L70" s="203"/>
      <c r="M70" s="204"/>
      <c r="N70" s="450"/>
      <c r="O70" s="582"/>
      <c r="P70" s="583"/>
      <c r="Q70" s="12" t="str">
        <f t="shared" si="1"/>
        <v>입상_강관_고정틀|입상_강관_고정틀_20A|75A</v>
      </c>
      <c r="T70" s="107"/>
    </row>
    <row r="71" spans="1:21">
      <c r="A71" s="494">
        <f t="shared" si="3"/>
        <v>63</v>
      </c>
      <c r="B71" s="477" t="s">
        <v>59</v>
      </c>
      <c r="C71" s="50" t="s">
        <v>226</v>
      </c>
      <c r="D71" s="198" t="s">
        <v>46</v>
      </c>
      <c r="E71" s="199">
        <v>2080</v>
      </c>
      <c r="F71" s="200">
        <f t="shared" si="0"/>
        <v>4160</v>
      </c>
      <c r="G71" s="170">
        <f t="shared" si="2"/>
        <v>2370</v>
      </c>
      <c r="H71" s="171"/>
      <c r="I71" s="201"/>
      <c r="J71" s="364"/>
      <c r="K71" s="202"/>
      <c r="L71" s="203"/>
      <c r="M71" s="204"/>
      <c r="N71" s="450"/>
      <c r="O71" s="582"/>
      <c r="P71" s="583"/>
      <c r="Q71" s="12" t="str">
        <f t="shared" si="1"/>
        <v>입상_강관_고정틀|입상_강관_고정틀_25A|75A</v>
      </c>
      <c r="T71" s="107"/>
    </row>
    <row r="72" spans="1:21">
      <c r="A72" s="494">
        <f t="shared" si="3"/>
        <v>64</v>
      </c>
      <c r="B72" s="477" t="s">
        <v>59</v>
      </c>
      <c r="C72" s="50" t="s">
        <v>227</v>
      </c>
      <c r="D72" s="198" t="s">
        <v>46</v>
      </c>
      <c r="E72" s="199">
        <v>2080</v>
      </c>
      <c r="F72" s="200">
        <f t="shared" si="0"/>
        <v>4160</v>
      </c>
      <c r="G72" s="170">
        <f t="shared" si="2"/>
        <v>2370</v>
      </c>
      <c r="H72" s="171"/>
      <c r="I72" s="201"/>
      <c r="J72" s="364"/>
      <c r="K72" s="202"/>
      <c r="L72" s="203"/>
      <c r="M72" s="204"/>
      <c r="N72" s="450"/>
      <c r="O72" s="582"/>
      <c r="P72" s="583"/>
      <c r="Q72" s="12" t="str">
        <f t="shared" si="1"/>
        <v>입상_강관_고정틀|입상_강관_고정틀_32A|75A</v>
      </c>
      <c r="T72" s="107"/>
    </row>
    <row r="73" spans="1:21">
      <c r="A73" s="494">
        <f t="shared" si="3"/>
        <v>65</v>
      </c>
      <c r="B73" s="477" t="s">
        <v>121</v>
      </c>
      <c r="C73" s="50" t="s">
        <v>217</v>
      </c>
      <c r="D73" s="198" t="s">
        <v>47</v>
      </c>
      <c r="E73" s="199">
        <v>2080</v>
      </c>
      <c r="F73" s="200">
        <f t="shared" ref="F73:F136" si="7">E73*$C$4</f>
        <v>4160</v>
      </c>
      <c r="G73" s="170">
        <f t="shared" si="2"/>
        <v>2370</v>
      </c>
      <c r="H73" s="171"/>
      <c r="I73" s="201"/>
      <c r="J73" s="364"/>
      <c r="K73" s="202"/>
      <c r="L73" s="203"/>
      <c r="M73" s="204"/>
      <c r="N73" s="450"/>
      <c r="O73" s="582"/>
      <c r="P73" s="583"/>
      <c r="Q73" s="12" t="str">
        <f t="shared" ref="Q73:Q136" si="8">B73&amp;"|"&amp;C73&amp;"|"&amp;D73</f>
        <v>입상_강관_고정틀|입상_강관_고정틀_32A|100A</v>
      </c>
      <c r="T73" s="107"/>
    </row>
    <row r="74" spans="1:21">
      <c r="A74" s="494">
        <f t="shared" si="3"/>
        <v>66</v>
      </c>
      <c r="B74" s="477" t="s">
        <v>59</v>
      </c>
      <c r="C74" s="50" t="s">
        <v>218</v>
      </c>
      <c r="D74" s="198" t="s">
        <v>46</v>
      </c>
      <c r="E74" s="199">
        <v>2080</v>
      </c>
      <c r="F74" s="200">
        <f t="shared" si="7"/>
        <v>4160</v>
      </c>
      <c r="G74" s="170">
        <f t="shared" ref="G74:G137" si="9">FLOOR(F74*$H$4,10)</f>
        <v>2370</v>
      </c>
      <c r="H74" s="171"/>
      <c r="I74" s="201"/>
      <c r="J74" s="364"/>
      <c r="K74" s="202"/>
      <c r="L74" s="203"/>
      <c r="M74" s="204"/>
      <c r="N74" s="450"/>
      <c r="O74" s="582"/>
      <c r="P74" s="583"/>
      <c r="Q74" s="12" t="str">
        <f t="shared" si="8"/>
        <v>입상_강관_고정틀|입상_강관_고정틀_40A|75A</v>
      </c>
      <c r="T74" s="107"/>
    </row>
    <row r="75" spans="1:21">
      <c r="A75" s="494">
        <f t="shared" ref="A75:A138" si="10">A74+1</f>
        <v>67</v>
      </c>
      <c r="B75" s="477" t="s">
        <v>59</v>
      </c>
      <c r="C75" s="50" t="s">
        <v>218</v>
      </c>
      <c r="D75" s="198" t="s">
        <v>47</v>
      </c>
      <c r="E75" s="199">
        <v>2080</v>
      </c>
      <c r="F75" s="200">
        <f t="shared" si="7"/>
        <v>4160</v>
      </c>
      <c r="G75" s="170">
        <f t="shared" si="9"/>
        <v>2370</v>
      </c>
      <c r="H75" s="171"/>
      <c r="I75" s="201"/>
      <c r="J75" s="364"/>
      <c r="K75" s="202"/>
      <c r="L75" s="203"/>
      <c r="M75" s="204"/>
      <c r="N75" s="450"/>
      <c r="O75" s="582"/>
      <c r="P75" s="583"/>
      <c r="Q75" s="12" t="str">
        <f t="shared" si="8"/>
        <v>입상_강관_고정틀|입상_강관_고정틀_40A|100A</v>
      </c>
      <c r="T75" s="107"/>
    </row>
    <row r="76" spans="1:21">
      <c r="A76" s="494">
        <f t="shared" si="10"/>
        <v>68</v>
      </c>
      <c r="B76" s="477" t="s">
        <v>59</v>
      </c>
      <c r="C76" s="50" t="s">
        <v>218</v>
      </c>
      <c r="D76" s="198" t="s">
        <v>48</v>
      </c>
      <c r="E76" s="199">
        <v>2340</v>
      </c>
      <c r="F76" s="200">
        <f t="shared" si="7"/>
        <v>4680</v>
      </c>
      <c r="G76" s="170">
        <f t="shared" si="9"/>
        <v>2660</v>
      </c>
      <c r="H76" s="171"/>
      <c r="I76" s="201"/>
      <c r="J76" s="364"/>
      <c r="K76" s="202"/>
      <c r="L76" s="203"/>
      <c r="M76" s="204"/>
      <c r="N76" s="450"/>
      <c r="O76" s="582"/>
      <c r="P76" s="583"/>
      <c r="Q76" s="12" t="str">
        <f t="shared" si="8"/>
        <v>입상_강관_고정틀|입상_강관_고정틀_40A|125A</v>
      </c>
      <c r="T76" s="107"/>
    </row>
    <row r="77" spans="1:21">
      <c r="A77" s="494">
        <f t="shared" si="10"/>
        <v>69</v>
      </c>
      <c r="B77" s="477" t="s">
        <v>59</v>
      </c>
      <c r="C77" s="50" t="s">
        <v>219</v>
      </c>
      <c r="D77" s="51" t="s">
        <v>46</v>
      </c>
      <c r="E77" s="169">
        <v>2080</v>
      </c>
      <c r="F77" s="170">
        <f t="shared" si="7"/>
        <v>4160</v>
      </c>
      <c r="G77" s="170">
        <f t="shared" si="9"/>
        <v>2370</v>
      </c>
      <c r="H77" s="171"/>
      <c r="I77" s="172"/>
      <c r="J77" s="357"/>
      <c r="K77" s="173"/>
      <c r="L77" s="174"/>
      <c r="M77" s="175"/>
      <c r="N77" s="447"/>
      <c r="O77" s="582"/>
      <c r="P77" s="583"/>
      <c r="Q77" s="12" t="str">
        <f t="shared" si="8"/>
        <v>입상_강관_고정틀|입상_강관_고정틀_50A|75A</v>
      </c>
      <c r="T77" s="107"/>
    </row>
    <row r="78" spans="1:21">
      <c r="A78" s="494">
        <f t="shared" si="10"/>
        <v>70</v>
      </c>
      <c r="B78" s="477" t="s">
        <v>59</v>
      </c>
      <c r="C78" s="50" t="s">
        <v>219</v>
      </c>
      <c r="D78" s="51" t="s">
        <v>47</v>
      </c>
      <c r="E78" s="169">
        <v>2080</v>
      </c>
      <c r="F78" s="170">
        <f t="shared" si="7"/>
        <v>4160</v>
      </c>
      <c r="G78" s="170">
        <f t="shared" si="9"/>
        <v>2370</v>
      </c>
      <c r="H78" s="171"/>
      <c r="I78" s="201"/>
      <c r="J78" s="364"/>
      <c r="K78" s="202"/>
      <c r="L78" s="203"/>
      <c r="M78" s="204"/>
      <c r="N78" s="450"/>
      <c r="O78" s="582"/>
      <c r="P78" s="583"/>
      <c r="Q78" s="12" t="str">
        <f t="shared" si="8"/>
        <v>입상_강관_고정틀|입상_강관_고정틀_50A|100A</v>
      </c>
      <c r="T78" s="107"/>
    </row>
    <row r="79" spans="1:21">
      <c r="A79" s="494">
        <f t="shared" si="10"/>
        <v>71</v>
      </c>
      <c r="B79" s="477" t="s">
        <v>59</v>
      </c>
      <c r="C79" s="50" t="s">
        <v>219</v>
      </c>
      <c r="D79" s="176" t="s">
        <v>48</v>
      </c>
      <c r="E79" s="177">
        <v>2600</v>
      </c>
      <c r="F79" s="178">
        <f t="shared" si="7"/>
        <v>5200</v>
      </c>
      <c r="G79" s="178">
        <f t="shared" si="9"/>
        <v>2960</v>
      </c>
      <c r="H79" s="171"/>
      <c r="I79" s="202"/>
      <c r="J79" s="364"/>
      <c r="K79" s="202"/>
      <c r="L79" s="203"/>
      <c r="M79" s="204"/>
      <c r="N79" s="450"/>
      <c r="O79" s="582"/>
      <c r="P79" s="583"/>
      <c r="Q79" s="12" t="str">
        <f t="shared" si="8"/>
        <v>입상_강관_고정틀|입상_강관_고정틀_50A|125A</v>
      </c>
      <c r="T79" s="107"/>
    </row>
    <row r="80" spans="1:21">
      <c r="A80" s="494">
        <f t="shared" si="10"/>
        <v>72</v>
      </c>
      <c r="B80" s="477" t="s">
        <v>59</v>
      </c>
      <c r="C80" s="50" t="s">
        <v>220</v>
      </c>
      <c r="D80" s="51" t="s">
        <v>47</v>
      </c>
      <c r="E80" s="52">
        <v>2600</v>
      </c>
      <c r="F80" s="57">
        <f t="shared" si="7"/>
        <v>5200</v>
      </c>
      <c r="G80" s="170">
        <f t="shared" si="9"/>
        <v>2960</v>
      </c>
      <c r="H80" s="171"/>
      <c r="I80" s="201"/>
      <c r="J80" s="364"/>
      <c r="K80" s="202"/>
      <c r="L80" s="203"/>
      <c r="M80" s="204"/>
      <c r="N80" s="450"/>
      <c r="O80" s="582"/>
      <c r="P80" s="583"/>
      <c r="Q80" s="12" t="str">
        <f t="shared" si="8"/>
        <v>입상_강관_고정틀|입상_강관_고정틀_65A|100A</v>
      </c>
      <c r="T80" s="107"/>
    </row>
    <row r="81" spans="1:21">
      <c r="A81" s="494">
        <f t="shared" si="10"/>
        <v>73</v>
      </c>
      <c r="B81" s="477" t="s">
        <v>59</v>
      </c>
      <c r="C81" s="50" t="s">
        <v>221</v>
      </c>
      <c r="D81" s="51" t="s">
        <v>47</v>
      </c>
      <c r="E81" s="169">
        <v>2340</v>
      </c>
      <c r="F81" s="170">
        <f t="shared" si="7"/>
        <v>4680</v>
      </c>
      <c r="G81" s="170">
        <f t="shared" si="9"/>
        <v>2660</v>
      </c>
      <c r="H81" s="171"/>
      <c r="I81" s="201"/>
      <c r="J81" s="364"/>
      <c r="K81" s="202"/>
      <c r="L81" s="203"/>
      <c r="M81" s="204"/>
      <c r="N81" s="450"/>
      <c r="O81" s="582"/>
      <c r="P81" s="583"/>
      <c r="Q81" s="12" t="str">
        <f t="shared" si="8"/>
        <v>입상_강관_고정틀|입상_강관_고정틀_80A|100A</v>
      </c>
      <c r="T81" s="107"/>
    </row>
    <row r="82" spans="1:21">
      <c r="A82" s="494">
        <f t="shared" si="10"/>
        <v>74</v>
      </c>
      <c r="B82" s="477" t="s">
        <v>59</v>
      </c>
      <c r="C82" s="50" t="s">
        <v>221</v>
      </c>
      <c r="D82" s="51" t="s">
        <v>48</v>
      </c>
      <c r="E82" s="169">
        <v>2340</v>
      </c>
      <c r="F82" s="170">
        <f t="shared" si="7"/>
        <v>4680</v>
      </c>
      <c r="G82" s="170">
        <f t="shared" si="9"/>
        <v>2660</v>
      </c>
      <c r="H82" s="171"/>
      <c r="I82" s="201"/>
      <c r="J82" s="364"/>
      <c r="K82" s="202"/>
      <c r="L82" s="203"/>
      <c r="M82" s="204"/>
      <c r="N82" s="450"/>
      <c r="O82" s="582"/>
      <c r="P82" s="583"/>
      <c r="Q82" s="12" t="str">
        <f t="shared" si="8"/>
        <v>입상_강관_고정틀|입상_강관_고정틀_80A|125A</v>
      </c>
      <c r="T82" s="107"/>
    </row>
    <row r="83" spans="1:21">
      <c r="A83" s="494">
        <f t="shared" si="10"/>
        <v>75</v>
      </c>
      <c r="B83" s="477" t="s">
        <v>59</v>
      </c>
      <c r="C83" s="50" t="s">
        <v>221</v>
      </c>
      <c r="D83" s="51" t="s">
        <v>49</v>
      </c>
      <c r="E83" s="169">
        <v>2340</v>
      </c>
      <c r="F83" s="170">
        <f t="shared" si="7"/>
        <v>4680</v>
      </c>
      <c r="G83" s="170">
        <f t="shared" si="9"/>
        <v>2660</v>
      </c>
      <c r="H83" s="171"/>
      <c r="I83" s="201"/>
      <c r="J83" s="364"/>
      <c r="K83" s="202"/>
      <c r="L83" s="203"/>
      <c r="M83" s="204"/>
      <c r="N83" s="450"/>
      <c r="O83" s="582"/>
      <c r="P83" s="583"/>
      <c r="Q83" s="12" t="str">
        <f t="shared" si="8"/>
        <v>입상_강관_고정틀|입상_강관_고정틀_80A|150A</v>
      </c>
      <c r="T83" s="107"/>
    </row>
    <row r="84" spans="1:21">
      <c r="A84" s="494">
        <f t="shared" si="10"/>
        <v>76</v>
      </c>
      <c r="B84" s="477" t="s">
        <v>59</v>
      </c>
      <c r="C84" s="50" t="s">
        <v>222</v>
      </c>
      <c r="D84" s="51" t="s">
        <v>48</v>
      </c>
      <c r="E84" s="169">
        <v>2540</v>
      </c>
      <c r="F84" s="170">
        <f t="shared" si="7"/>
        <v>5080</v>
      </c>
      <c r="G84" s="170">
        <f t="shared" si="9"/>
        <v>2890</v>
      </c>
      <c r="H84" s="171"/>
      <c r="I84" s="201"/>
      <c r="J84" s="364"/>
      <c r="K84" s="202"/>
      <c r="L84" s="203"/>
      <c r="M84" s="204"/>
      <c r="N84" s="450"/>
      <c r="O84" s="582"/>
      <c r="P84" s="583"/>
      <c r="Q84" s="12" t="str">
        <f t="shared" si="8"/>
        <v>입상_강관_고정틀|입상_강관_고정틀_100A|125A</v>
      </c>
      <c r="T84" s="107"/>
    </row>
    <row r="85" spans="1:21">
      <c r="A85" s="494">
        <f t="shared" si="10"/>
        <v>77</v>
      </c>
      <c r="B85" s="477" t="s">
        <v>59</v>
      </c>
      <c r="C85" s="50" t="s">
        <v>222</v>
      </c>
      <c r="D85" s="51" t="s">
        <v>49</v>
      </c>
      <c r="E85" s="169">
        <v>2540</v>
      </c>
      <c r="F85" s="170">
        <f t="shared" si="7"/>
        <v>5080</v>
      </c>
      <c r="G85" s="170">
        <f t="shared" si="9"/>
        <v>2890</v>
      </c>
      <c r="H85" s="171"/>
      <c r="I85" s="201"/>
      <c r="J85" s="364"/>
      <c r="K85" s="202"/>
      <c r="L85" s="203"/>
      <c r="M85" s="204"/>
      <c r="N85" s="450"/>
      <c r="O85" s="582"/>
      <c r="P85" s="583"/>
      <c r="Q85" s="12" t="str">
        <f t="shared" si="8"/>
        <v>입상_강관_고정틀|입상_강관_고정틀_100A|150A</v>
      </c>
    </row>
    <row r="86" spans="1:21">
      <c r="A86" s="494">
        <f t="shared" si="10"/>
        <v>78</v>
      </c>
      <c r="B86" s="477" t="s">
        <v>59</v>
      </c>
      <c r="C86" s="50" t="s">
        <v>222</v>
      </c>
      <c r="D86" s="51" t="s">
        <v>50</v>
      </c>
      <c r="E86" s="169">
        <v>4810</v>
      </c>
      <c r="F86" s="170">
        <f t="shared" si="7"/>
        <v>9620</v>
      </c>
      <c r="G86" s="170">
        <f t="shared" si="9"/>
        <v>5480</v>
      </c>
      <c r="H86" s="171"/>
      <c r="I86" s="201"/>
      <c r="J86" s="364"/>
      <c r="K86" s="202"/>
      <c r="L86" s="203"/>
      <c r="M86" s="204"/>
      <c r="N86" s="450"/>
      <c r="O86" s="582"/>
      <c r="P86" s="583"/>
      <c r="Q86" s="12" t="str">
        <f t="shared" si="8"/>
        <v>입상_강관_고정틀|입상_강관_고정틀_100A|200A</v>
      </c>
    </row>
    <row r="87" spans="1:21">
      <c r="A87" s="494">
        <f t="shared" si="10"/>
        <v>79</v>
      </c>
      <c r="B87" s="477" t="s">
        <v>59</v>
      </c>
      <c r="C87" s="50" t="s">
        <v>223</v>
      </c>
      <c r="D87" s="51" t="s">
        <v>50</v>
      </c>
      <c r="E87" s="169">
        <v>4810</v>
      </c>
      <c r="F87" s="170">
        <f t="shared" si="7"/>
        <v>9620</v>
      </c>
      <c r="G87" s="170">
        <f t="shared" si="9"/>
        <v>5480</v>
      </c>
      <c r="H87" s="171"/>
      <c r="I87" s="201"/>
      <c r="J87" s="364"/>
      <c r="K87" s="202"/>
      <c r="L87" s="203"/>
      <c r="M87" s="204"/>
      <c r="N87" s="450"/>
      <c r="O87" s="582"/>
      <c r="P87" s="583"/>
      <c r="Q87" s="12" t="str">
        <f t="shared" si="8"/>
        <v>입상_강관_고정틀|입상_강관_고정틀_125A|200A</v>
      </c>
    </row>
    <row r="88" spans="1:21">
      <c r="A88" s="494">
        <f t="shared" si="10"/>
        <v>80</v>
      </c>
      <c r="B88" s="477" t="s">
        <v>59</v>
      </c>
      <c r="C88" s="50" t="s">
        <v>224</v>
      </c>
      <c r="D88" s="51" t="s">
        <v>50</v>
      </c>
      <c r="E88" s="169">
        <v>4810</v>
      </c>
      <c r="F88" s="170">
        <f t="shared" si="7"/>
        <v>9620</v>
      </c>
      <c r="G88" s="170">
        <f t="shared" si="9"/>
        <v>5480</v>
      </c>
      <c r="H88" s="171"/>
      <c r="I88" s="201"/>
      <c r="J88" s="364"/>
      <c r="K88" s="202"/>
      <c r="L88" s="203"/>
      <c r="M88" s="204"/>
      <c r="N88" s="450"/>
      <c r="O88" s="582"/>
      <c r="P88" s="583"/>
      <c r="Q88" s="12" t="str">
        <f t="shared" si="8"/>
        <v>입상_강관_고정틀|입상_강관_고정틀_150A|200A</v>
      </c>
    </row>
    <row r="89" spans="1:21">
      <c r="A89" s="494">
        <f t="shared" si="10"/>
        <v>81</v>
      </c>
      <c r="B89" s="478" t="s">
        <v>60</v>
      </c>
      <c r="C89" s="116" t="s">
        <v>239</v>
      </c>
      <c r="D89" s="117" t="s">
        <v>45</v>
      </c>
      <c r="E89" s="118">
        <v>3010</v>
      </c>
      <c r="F89" s="119">
        <f t="shared" si="7"/>
        <v>6020</v>
      </c>
      <c r="G89" s="120">
        <f t="shared" si="9"/>
        <v>3430</v>
      </c>
      <c r="H89" s="121" t="s">
        <v>102</v>
      </c>
      <c r="I89" s="122">
        <v>66.900000000000006</v>
      </c>
      <c r="J89" s="365">
        <f t="shared" ref="J89:J143" si="11">I89 / RIGHT(H89, LEN(H89)-FIND("@", SUBSTITUTE(H89, "*", "@", LEN(H89)-LEN(SUBSTITUTE(H89, "*", "")))))</f>
        <v>1.3937500000000002E-2</v>
      </c>
      <c r="K89" s="123">
        <f t="shared" ref="K89:K120" si="12">FLOOR(($I89 / RIGHT($H89, LEN($H89) - FIND("@", SUBSTITUTE($H89, "*", "@", 2)))) * VLOOKUP($H89, $C$255:$G$259, 5, FALSE), 1)</f>
        <v>763</v>
      </c>
      <c r="L89" s="124" cm="1">
        <f t="array" ref="L89">TRUNC(
  IF($O89&lt;&gt;0,
    _xlfn.LET(
      _xlpm.size, VALUE(SUBSTITUTE(MID($C89, FIND("_",$C89, LEN($C89)-5)+1, LEN($C89)), "A","")),
      _xlpm.base_val, _xlfn.IFS(_xlpm.size&lt;=50, 1/6, _xlpm.size&lt;=100, 1/4, _xlpm.size&lt;=150, 1/3, _xlpm.size&lt;=200, 1/2, TRUE, 0),
      IF(ISNUMBER(SEARCH("벽체", $C89)), _xlpm.base_val * 2, _xlpm.base_val)
    ),
  0),
2)</f>
        <v>0.16</v>
      </c>
      <c r="M89" s="125">
        <f t="shared" ref="M89:M123" si="13">FLOOR($L89 * $G$262,1)</f>
        <v>691</v>
      </c>
      <c r="N89" s="451" t="s">
        <v>440</v>
      </c>
      <c r="O89" s="570" t="s">
        <v>183</v>
      </c>
      <c r="P89" s="571"/>
      <c r="Q89" s="12" t="str">
        <f t="shared" si="8"/>
        <v>입상_강관_충진재|입상_강관_충진재_15A|50A</v>
      </c>
      <c r="S89" s="104"/>
      <c r="T89" s="107"/>
      <c r="U89" s="107"/>
    </row>
    <row r="90" spans="1:21">
      <c r="A90" s="494">
        <f t="shared" si="10"/>
        <v>82</v>
      </c>
      <c r="B90" s="478" t="s">
        <v>60</v>
      </c>
      <c r="C90" s="116" t="s">
        <v>228</v>
      </c>
      <c r="D90" s="117" t="s">
        <v>46</v>
      </c>
      <c r="E90" s="118">
        <v>3730</v>
      </c>
      <c r="F90" s="119">
        <f t="shared" si="7"/>
        <v>7460</v>
      </c>
      <c r="G90" s="120">
        <f t="shared" si="9"/>
        <v>4250</v>
      </c>
      <c r="H90" s="121" t="s">
        <v>102</v>
      </c>
      <c r="I90" s="122">
        <v>66.900000000000006</v>
      </c>
      <c r="J90" s="365">
        <f t="shared" si="11"/>
        <v>1.3937500000000002E-2</v>
      </c>
      <c r="K90" s="123">
        <f t="shared" si="12"/>
        <v>763</v>
      </c>
      <c r="L90" s="124" cm="1">
        <f t="array" ref="L90">TRUNC(
  IF($O90&lt;&gt;0,
    _xlfn.LET(
      _xlpm.size, VALUE(SUBSTITUTE(MID($C90, FIND("_",$C90, LEN($C90)-5)+1, LEN($C90)), "A","")),
      _xlpm.base_val, _xlfn.IFS(_xlpm.size&lt;=50, 1/6, _xlpm.size&lt;=100, 1/4, _xlpm.size&lt;=150, 1/3, _xlpm.size&lt;=200, 1/2, TRUE, 0),
      IF(ISNUMBER(SEARCH("벽체", $C90)), _xlpm.base_val * 2, _xlpm.base_val)
    ),
  0),
2)</f>
        <v>0.16</v>
      </c>
      <c r="M90" s="125">
        <f t="shared" si="13"/>
        <v>691</v>
      </c>
      <c r="N90" s="451" t="s">
        <v>440</v>
      </c>
      <c r="O90" s="570" t="s">
        <v>183</v>
      </c>
      <c r="P90" s="571"/>
      <c r="Q90" s="12" t="str">
        <f t="shared" si="8"/>
        <v>입상_강관_충진재|입상_강관_충진재_15A|75A</v>
      </c>
      <c r="S90" s="104"/>
      <c r="T90" s="107"/>
      <c r="U90" s="107"/>
    </row>
    <row r="91" spans="1:21">
      <c r="A91" s="494">
        <f t="shared" si="10"/>
        <v>83</v>
      </c>
      <c r="B91" s="478" t="s">
        <v>60</v>
      </c>
      <c r="C91" s="116" t="s">
        <v>229</v>
      </c>
      <c r="D91" s="126" t="s">
        <v>45</v>
      </c>
      <c r="E91" s="127">
        <v>3110</v>
      </c>
      <c r="F91" s="128">
        <f t="shared" si="7"/>
        <v>6220</v>
      </c>
      <c r="G91" s="129">
        <f t="shared" si="9"/>
        <v>3540</v>
      </c>
      <c r="H91" s="121" t="s">
        <v>102</v>
      </c>
      <c r="I91" s="122">
        <v>83.9</v>
      </c>
      <c r="J91" s="365">
        <f t="shared" si="11"/>
        <v>1.7479166666666667E-2</v>
      </c>
      <c r="K91" s="123">
        <f t="shared" si="12"/>
        <v>957</v>
      </c>
      <c r="L91" s="124" cm="1">
        <f t="array" ref="L91">TRUNC(
  IF($O91&lt;&gt;0,
    _xlfn.LET(
      _xlpm.size, VALUE(SUBSTITUTE(MID($C91, FIND("_",$C91, LEN($C91)-5)+1, LEN($C91)), "A","")),
      _xlpm.base_val, _xlfn.IFS(_xlpm.size&lt;=50, 1/6, _xlpm.size&lt;=100, 1/4, _xlpm.size&lt;=150, 1/3, _xlpm.size&lt;=200, 1/2, TRUE, 0),
      IF(ISNUMBER(SEARCH("벽체", $C91)), _xlpm.base_val * 2, _xlpm.base_val)
    ),
  0),
2)</f>
        <v>0.16</v>
      </c>
      <c r="M91" s="125">
        <f t="shared" si="13"/>
        <v>691</v>
      </c>
      <c r="N91" s="451" t="s">
        <v>440</v>
      </c>
      <c r="O91" s="570" t="s">
        <v>183</v>
      </c>
      <c r="P91" s="571"/>
      <c r="Q91" s="12" t="str">
        <f t="shared" si="8"/>
        <v>입상_강관_충진재|입상_강관_충진재_20A|50A</v>
      </c>
      <c r="S91" s="104"/>
      <c r="T91" s="107"/>
      <c r="U91" s="107"/>
    </row>
    <row r="92" spans="1:21">
      <c r="A92" s="494">
        <f t="shared" si="10"/>
        <v>84</v>
      </c>
      <c r="B92" s="478" t="s">
        <v>60</v>
      </c>
      <c r="C92" s="116" t="s">
        <v>229</v>
      </c>
      <c r="D92" s="117" t="s">
        <v>46</v>
      </c>
      <c r="E92" s="118">
        <v>3820</v>
      </c>
      <c r="F92" s="119">
        <f t="shared" si="7"/>
        <v>7640</v>
      </c>
      <c r="G92" s="120">
        <f t="shared" si="9"/>
        <v>4350</v>
      </c>
      <c r="H92" s="121" t="s">
        <v>102</v>
      </c>
      <c r="I92" s="122">
        <v>83.9</v>
      </c>
      <c r="J92" s="365">
        <f t="shared" si="11"/>
        <v>1.7479166666666667E-2</v>
      </c>
      <c r="K92" s="123">
        <f t="shared" si="12"/>
        <v>957</v>
      </c>
      <c r="L92" s="124" cm="1">
        <f t="array" ref="L92">TRUNC(
  IF($O92&lt;&gt;0,
    _xlfn.LET(
      _xlpm.size, VALUE(SUBSTITUTE(MID($C92, FIND("_",$C92, LEN($C92)-5)+1, LEN($C92)), "A","")),
      _xlpm.base_val, _xlfn.IFS(_xlpm.size&lt;=50, 1/6, _xlpm.size&lt;=100, 1/4, _xlpm.size&lt;=150, 1/3, _xlpm.size&lt;=200, 1/2, TRUE, 0),
      IF(ISNUMBER(SEARCH("벽체", $C92)), _xlpm.base_val * 2, _xlpm.base_val)
    ),
  0),
2)</f>
        <v>0.16</v>
      </c>
      <c r="M92" s="125">
        <f t="shared" si="13"/>
        <v>691</v>
      </c>
      <c r="N92" s="451" t="s">
        <v>440</v>
      </c>
      <c r="O92" s="570" t="s">
        <v>183</v>
      </c>
      <c r="P92" s="571"/>
      <c r="Q92" s="12" t="str">
        <f t="shared" si="8"/>
        <v>입상_강관_충진재|입상_강관_충진재_20A|75A</v>
      </c>
      <c r="S92" s="104"/>
      <c r="T92" s="107"/>
      <c r="U92" s="107"/>
    </row>
    <row r="93" spans="1:21">
      <c r="A93" s="494">
        <f t="shared" si="10"/>
        <v>85</v>
      </c>
      <c r="B93" s="478" t="s">
        <v>60</v>
      </c>
      <c r="C93" s="116" t="s">
        <v>229</v>
      </c>
      <c r="D93" s="117" t="s">
        <v>47</v>
      </c>
      <c r="E93" s="118">
        <v>4240</v>
      </c>
      <c r="F93" s="119">
        <f t="shared" si="7"/>
        <v>8480</v>
      </c>
      <c r="G93" s="120">
        <f t="shared" si="9"/>
        <v>4830</v>
      </c>
      <c r="H93" s="121" t="s">
        <v>102</v>
      </c>
      <c r="I93" s="122">
        <v>83.9</v>
      </c>
      <c r="J93" s="365">
        <f t="shared" si="11"/>
        <v>1.7479166666666667E-2</v>
      </c>
      <c r="K93" s="123">
        <f t="shared" si="12"/>
        <v>957</v>
      </c>
      <c r="L93" s="124" cm="1">
        <f t="array" ref="L93">TRUNC(
  IF($O93&lt;&gt;0,
    _xlfn.LET(
      _xlpm.size, VALUE(SUBSTITUTE(MID($C93, FIND("_",$C93, LEN($C93)-5)+1, LEN($C93)), "A","")),
      _xlpm.base_val, _xlfn.IFS(_xlpm.size&lt;=50, 1/6, _xlpm.size&lt;=100, 1/4, _xlpm.size&lt;=150, 1/3, _xlpm.size&lt;=200, 1/2, TRUE, 0),
      IF(ISNUMBER(SEARCH("벽체", $C93)), _xlpm.base_val * 2, _xlpm.base_val)
    ),
  0),
2)</f>
        <v>0.16</v>
      </c>
      <c r="M93" s="125">
        <f t="shared" si="13"/>
        <v>691</v>
      </c>
      <c r="N93" s="451" t="s">
        <v>440</v>
      </c>
      <c r="O93" s="570" t="s">
        <v>183</v>
      </c>
      <c r="P93" s="571"/>
      <c r="Q93" s="12" t="str">
        <f t="shared" si="8"/>
        <v>입상_강관_충진재|입상_강관_충진재_20A|100A</v>
      </c>
      <c r="S93" s="104"/>
      <c r="T93" s="107"/>
      <c r="U93" s="107"/>
    </row>
    <row r="94" spans="1:21">
      <c r="A94" s="494">
        <f t="shared" si="10"/>
        <v>86</v>
      </c>
      <c r="B94" s="478" t="s">
        <v>60</v>
      </c>
      <c r="C94" s="116" t="s">
        <v>230</v>
      </c>
      <c r="D94" s="117" t="s">
        <v>45</v>
      </c>
      <c r="E94" s="118">
        <v>3250</v>
      </c>
      <c r="F94" s="119">
        <f t="shared" si="7"/>
        <v>6500</v>
      </c>
      <c r="G94" s="120">
        <f t="shared" si="9"/>
        <v>3700</v>
      </c>
      <c r="H94" s="121" t="s">
        <v>102</v>
      </c>
      <c r="I94" s="122">
        <v>104.9</v>
      </c>
      <c r="J94" s="365">
        <f t="shared" si="11"/>
        <v>2.1854166666666668E-2</v>
      </c>
      <c r="K94" s="123">
        <f t="shared" si="12"/>
        <v>1197</v>
      </c>
      <c r="L94" s="124" cm="1">
        <f t="array" ref="L94">TRUNC(
  IF($O94&lt;&gt;0,
    _xlfn.LET(
      _xlpm.size, VALUE(SUBSTITUTE(MID($C94, FIND("_",$C94, LEN($C94)-5)+1, LEN($C94)), "A","")),
      _xlpm.base_val, _xlfn.IFS(_xlpm.size&lt;=50, 1/6, _xlpm.size&lt;=100, 1/4, _xlpm.size&lt;=150, 1/3, _xlpm.size&lt;=200, 1/2, TRUE, 0),
      IF(ISNUMBER(SEARCH("벽체", $C94)), _xlpm.base_val * 2, _xlpm.base_val)
    ),
  0),
2)</f>
        <v>0.16</v>
      </c>
      <c r="M94" s="125">
        <f t="shared" si="13"/>
        <v>691</v>
      </c>
      <c r="N94" s="451" t="s">
        <v>440</v>
      </c>
      <c r="O94" s="570" t="s">
        <v>183</v>
      </c>
      <c r="P94" s="571"/>
      <c r="Q94" s="12" t="str">
        <f t="shared" si="8"/>
        <v>입상_강관_충진재|입상_강관_충진재_25A|50A</v>
      </c>
      <c r="S94" s="104"/>
      <c r="T94" s="107"/>
      <c r="U94" s="107"/>
    </row>
    <row r="95" spans="1:21">
      <c r="A95" s="494">
        <f t="shared" si="10"/>
        <v>87</v>
      </c>
      <c r="B95" s="478" t="s">
        <v>60</v>
      </c>
      <c r="C95" s="116" t="s">
        <v>230</v>
      </c>
      <c r="D95" s="117" t="s">
        <v>46</v>
      </c>
      <c r="E95" s="118">
        <v>3950</v>
      </c>
      <c r="F95" s="119">
        <f t="shared" si="7"/>
        <v>7900</v>
      </c>
      <c r="G95" s="120">
        <f t="shared" si="9"/>
        <v>4500</v>
      </c>
      <c r="H95" s="121" t="s">
        <v>102</v>
      </c>
      <c r="I95" s="122">
        <v>104.9</v>
      </c>
      <c r="J95" s="365">
        <f t="shared" si="11"/>
        <v>2.1854166666666668E-2</v>
      </c>
      <c r="K95" s="123">
        <f t="shared" si="12"/>
        <v>1197</v>
      </c>
      <c r="L95" s="124" cm="1">
        <f t="array" ref="L95">TRUNC(
  IF($O95&lt;&gt;0,
    _xlfn.LET(
      _xlpm.size, VALUE(SUBSTITUTE(MID($C95, FIND("_",$C95, LEN($C95)-5)+1, LEN($C95)), "A","")),
      _xlpm.base_val, _xlfn.IFS(_xlpm.size&lt;=50, 1/6, _xlpm.size&lt;=100, 1/4, _xlpm.size&lt;=150, 1/3, _xlpm.size&lt;=200, 1/2, TRUE, 0),
      IF(ISNUMBER(SEARCH("벽체", $C95)), _xlpm.base_val * 2, _xlpm.base_val)
    ),
  0),
2)</f>
        <v>0.16</v>
      </c>
      <c r="M95" s="125">
        <f t="shared" si="13"/>
        <v>691</v>
      </c>
      <c r="N95" s="451" t="s">
        <v>440</v>
      </c>
      <c r="O95" s="570" t="s">
        <v>183</v>
      </c>
      <c r="P95" s="571"/>
      <c r="Q95" s="12" t="str">
        <f t="shared" si="8"/>
        <v>입상_강관_충진재|입상_강관_충진재_25A|75A</v>
      </c>
      <c r="S95" s="104"/>
      <c r="T95" s="107"/>
      <c r="U95" s="107"/>
    </row>
    <row r="96" spans="1:21">
      <c r="A96" s="494">
        <f t="shared" si="10"/>
        <v>88</v>
      </c>
      <c r="B96" s="478" t="s">
        <v>60</v>
      </c>
      <c r="C96" s="116" t="s">
        <v>230</v>
      </c>
      <c r="D96" s="117" t="s">
        <v>47</v>
      </c>
      <c r="E96" s="118">
        <v>4330</v>
      </c>
      <c r="F96" s="119">
        <f t="shared" si="7"/>
        <v>8660</v>
      </c>
      <c r="G96" s="120">
        <f t="shared" si="9"/>
        <v>4930</v>
      </c>
      <c r="H96" s="121" t="s">
        <v>102</v>
      </c>
      <c r="I96" s="122">
        <v>104.9</v>
      </c>
      <c r="J96" s="365">
        <f t="shared" si="11"/>
        <v>2.1854166666666668E-2</v>
      </c>
      <c r="K96" s="123">
        <f t="shared" si="12"/>
        <v>1197</v>
      </c>
      <c r="L96" s="124" cm="1">
        <f t="array" ref="L96">TRUNC(
  IF($O96&lt;&gt;0,
    _xlfn.LET(
      _xlpm.size, VALUE(SUBSTITUTE(MID($C96, FIND("_",$C96, LEN($C96)-5)+1, LEN($C96)), "A","")),
      _xlpm.base_val, _xlfn.IFS(_xlpm.size&lt;=50, 1/6, _xlpm.size&lt;=100, 1/4, _xlpm.size&lt;=150, 1/3, _xlpm.size&lt;=200, 1/2, TRUE, 0),
      IF(ISNUMBER(SEARCH("벽체", $C96)), _xlpm.base_val * 2, _xlpm.base_val)
    ),
  0),
2)</f>
        <v>0.16</v>
      </c>
      <c r="M96" s="125">
        <f t="shared" si="13"/>
        <v>691</v>
      </c>
      <c r="N96" s="451" t="s">
        <v>440</v>
      </c>
      <c r="O96" s="570" t="s">
        <v>183</v>
      </c>
      <c r="P96" s="571"/>
      <c r="Q96" s="12" t="str">
        <f t="shared" si="8"/>
        <v>입상_강관_충진재|입상_강관_충진재_25A|100A</v>
      </c>
      <c r="S96" s="104"/>
      <c r="T96" s="107"/>
      <c r="U96" s="107"/>
    </row>
    <row r="97" spans="1:21">
      <c r="A97" s="494">
        <f t="shared" si="10"/>
        <v>89</v>
      </c>
      <c r="B97" s="478" t="s">
        <v>60</v>
      </c>
      <c r="C97" s="116" t="s">
        <v>230</v>
      </c>
      <c r="D97" s="117" t="s">
        <v>48</v>
      </c>
      <c r="E97" s="118">
        <v>5160</v>
      </c>
      <c r="F97" s="119">
        <f t="shared" si="7"/>
        <v>10320</v>
      </c>
      <c r="G97" s="120">
        <f t="shared" si="9"/>
        <v>5880</v>
      </c>
      <c r="H97" s="121" t="s">
        <v>102</v>
      </c>
      <c r="I97" s="122">
        <v>104.9</v>
      </c>
      <c r="J97" s="365">
        <f t="shared" si="11"/>
        <v>2.1854166666666668E-2</v>
      </c>
      <c r="K97" s="123">
        <f t="shared" si="12"/>
        <v>1197</v>
      </c>
      <c r="L97" s="124" cm="1">
        <f t="array" ref="L97">TRUNC(
  IF($O97&lt;&gt;0,
    _xlfn.LET(
      _xlpm.size, VALUE(SUBSTITUTE(MID($C97, FIND("_",$C97, LEN($C97)-5)+1, LEN($C97)), "A","")),
      _xlpm.base_val, _xlfn.IFS(_xlpm.size&lt;=50, 1/6, _xlpm.size&lt;=100, 1/4, _xlpm.size&lt;=150, 1/3, _xlpm.size&lt;=200, 1/2, TRUE, 0),
      IF(ISNUMBER(SEARCH("벽체", $C97)), _xlpm.base_val * 2, _xlpm.base_val)
    ),
  0),
2)</f>
        <v>0.16</v>
      </c>
      <c r="M97" s="125">
        <f t="shared" si="13"/>
        <v>691</v>
      </c>
      <c r="N97" s="451" t="s">
        <v>440</v>
      </c>
      <c r="O97" s="570" t="s">
        <v>183</v>
      </c>
      <c r="P97" s="571"/>
      <c r="Q97" s="12" t="str">
        <f t="shared" si="8"/>
        <v>입상_강관_충진재|입상_강관_충진재_25A|125A</v>
      </c>
      <c r="S97" s="104"/>
      <c r="T97" s="107"/>
      <c r="U97" s="107"/>
    </row>
    <row r="98" spans="1:21">
      <c r="A98" s="494">
        <f t="shared" si="10"/>
        <v>90</v>
      </c>
      <c r="B98" s="478" t="s">
        <v>60</v>
      </c>
      <c r="C98" s="116" t="s">
        <v>231</v>
      </c>
      <c r="D98" s="117" t="s">
        <v>45</v>
      </c>
      <c r="E98" s="118">
        <v>3440</v>
      </c>
      <c r="F98" s="119">
        <f t="shared" si="7"/>
        <v>6880</v>
      </c>
      <c r="G98" s="120">
        <f t="shared" si="9"/>
        <v>3920</v>
      </c>
      <c r="H98" s="121" t="s">
        <v>102</v>
      </c>
      <c r="I98" s="122">
        <v>134.1</v>
      </c>
      <c r="J98" s="365">
        <f t="shared" si="11"/>
        <v>2.7937500000000001E-2</v>
      </c>
      <c r="K98" s="123">
        <f t="shared" si="12"/>
        <v>1530</v>
      </c>
      <c r="L98" s="124" cm="1">
        <f t="array" ref="L98">TRUNC(
  IF($O98&lt;&gt;0,
    _xlfn.LET(
      _xlpm.size, VALUE(SUBSTITUTE(MID($C98, FIND("_",$C98, LEN($C98)-5)+1, LEN($C98)), "A","")),
      _xlpm.base_val, _xlfn.IFS(_xlpm.size&lt;=50, 1/6, _xlpm.size&lt;=100, 1/4, _xlpm.size&lt;=150, 1/3, _xlpm.size&lt;=200, 1/2, TRUE, 0),
      IF(ISNUMBER(SEARCH("벽체", $C98)), _xlpm.base_val * 2, _xlpm.base_val)
    ),
  0),
2)</f>
        <v>0.16</v>
      </c>
      <c r="M98" s="125">
        <f t="shared" si="13"/>
        <v>691</v>
      </c>
      <c r="N98" s="451" t="s">
        <v>440</v>
      </c>
      <c r="O98" s="570" t="s">
        <v>183</v>
      </c>
      <c r="P98" s="571"/>
      <c r="Q98" s="12" t="str">
        <f t="shared" si="8"/>
        <v>입상_강관_충진재|입상_강관_충진재_32A|50A</v>
      </c>
      <c r="S98" s="104"/>
      <c r="T98" s="107"/>
      <c r="U98" s="107"/>
    </row>
    <row r="99" spans="1:21">
      <c r="A99" s="494">
        <f t="shared" si="10"/>
        <v>91</v>
      </c>
      <c r="B99" s="478" t="s">
        <v>60</v>
      </c>
      <c r="C99" s="116" t="s">
        <v>231</v>
      </c>
      <c r="D99" s="117" t="s">
        <v>46</v>
      </c>
      <c r="E99" s="118">
        <v>4140</v>
      </c>
      <c r="F99" s="119">
        <f t="shared" si="7"/>
        <v>8280</v>
      </c>
      <c r="G99" s="120">
        <f t="shared" si="9"/>
        <v>4710</v>
      </c>
      <c r="H99" s="121" t="s">
        <v>102</v>
      </c>
      <c r="I99" s="122">
        <v>134.1</v>
      </c>
      <c r="J99" s="365">
        <f t="shared" si="11"/>
        <v>2.7937500000000001E-2</v>
      </c>
      <c r="K99" s="123">
        <f t="shared" si="12"/>
        <v>1530</v>
      </c>
      <c r="L99" s="124" cm="1">
        <f t="array" ref="L99">TRUNC(
  IF($O99&lt;&gt;0,
    _xlfn.LET(
      _xlpm.size, VALUE(SUBSTITUTE(MID($C99, FIND("_",$C99, LEN($C99)-5)+1, LEN($C99)), "A","")),
      _xlpm.base_val, _xlfn.IFS(_xlpm.size&lt;=50, 1/6, _xlpm.size&lt;=100, 1/4, _xlpm.size&lt;=150, 1/3, _xlpm.size&lt;=200, 1/2, TRUE, 0),
      IF(ISNUMBER(SEARCH("벽체", $C99)), _xlpm.base_val * 2, _xlpm.base_val)
    ),
  0),
2)</f>
        <v>0.16</v>
      </c>
      <c r="M99" s="125">
        <f t="shared" si="13"/>
        <v>691</v>
      </c>
      <c r="N99" s="451" t="s">
        <v>440</v>
      </c>
      <c r="O99" s="570" t="s">
        <v>183</v>
      </c>
      <c r="P99" s="571"/>
      <c r="Q99" s="12" t="str">
        <f t="shared" si="8"/>
        <v>입상_강관_충진재|입상_강관_충진재_32A|75A</v>
      </c>
      <c r="S99" s="104"/>
      <c r="T99" s="107"/>
      <c r="U99" s="107"/>
    </row>
    <row r="100" spans="1:21">
      <c r="A100" s="494">
        <f t="shared" si="10"/>
        <v>92</v>
      </c>
      <c r="B100" s="478" t="s">
        <v>60</v>
      </c>
      <c r="C100" s="116" t="s">
        <v>231</v>
      </c>
      <c r="D100" s="117" t="s">
        <v>47</v>
      </c>
      <c r="E100" s="118">
        <v>4490</v>
      </c>
      <c r="F100" s="119">
        <f t="shared" si="7"/>
        <v>8980</v>
      </c>
      <c r="G100" s="120">
        <f t="shared" si="9"/>
        <v>5110</v>
      </c>
      <c r="H100" s="121" t="s">
        <v>102</v>
      </c>
      <c r="I100" s="122">
        <v>134.1</v>
      </c>
      <c r="J100" s="365">
        <f t="shared" si="11"/>
        <v>2.7937500000000001E-2</v>
      </c>
      <c r="K100" s="123">
        <f t="shared" si="12"/>
        <v>1530</v>
      </c>
      <c r="L100" s="124" cm="1">
        <f t="array" ref="L100">TRUNC(
  IF($O100&lt;&gt;0,
    _xlfn.LET(
      _xlpm.size, VALUE(SUBSTITUTE(MID($C100, FIND("_",$C100, LEN($C100)-5)+1, LEN($C100)), "A","")),
      _xlpm.base_val, _xlfn.IFS(_xlpm.size&lt;=50, 1/6, _xlpm.size&lt;=100, 1/4, _xlpm.size&lt;=150, 1/3, _xlpm.size&lt;=200, 1/2, TRUE, 0),
      IF(ISNUMBER(SEARCH("벽체", $C100)), _xlpm.base_val * 2, _xlpm.base_val)
    ),
  0),
2)</f>
        <v>0.16</v>
      </c>
      <c r="M100" s="125">
        <f t="shared" si="13"/>
        <v>691</v>
      </c>
      <c r="N100" s="451" t="s">
        <v>440</v>
      </c>
      <c r="O100" s="570" t="s">
        <v>183</v>
      </c>
      <c r="P100" s="571"/>
      <c r="Q100" s="12" t="str">
        <f t="shared" si="8"/>
        <v>입상_강관_충진재|입상_강관_충진재_32A|100A</v>
      </c>
      <c r="S100" s="104"/>
      <c r="T100" s="107"/>
      <c r="U100" s="107"/>
    </row>
    <row r="101" spans="1:21">
      <c r="A101" s="494">
        <f t="shared" si="10"/>
        <v>93</v>
      </c>
      <c r="B101" s="478" t="s">
        <v>60</v>
      </c>
      <c r="C101" s="116" t="s">
        <v>231</v>
      </c>
      <c r="D101" s="117" t="s">
        <v>179</v>
      </c>
      <c r="E101" s="118">
        <v>5330</v>
      </c>
      <c r="F101" s="119">
        <f t="shared" si="7"/>
        <v>10660</v>
      </c>
      <c r="G101" s="120">
        <f t="shared" si="9"/>
        <v>6070</v>
      </c>
      <c r="H101" s="121" t="s">
        <v>102</v>
      </c>
      <c r="I101" s="122">
        <v>134.1</v>
      </c>
      <c r="J101" s="365">
        <f t="shared" si="11"/>
        <v>2.7937500000000001E-2</v>
      </c>
      <c r="K101" s="123">
        <f t="shared" si="12"/>
        <v>1530</v>
      </c>
      <c r="L101" s="124" cm="1">
        <f t="array" ref="L101">TRUNC(
  IF($O101&lt;&gt;0,
    _xlfn.LET(
      _xlpm.size, VALUE(SUBSTITUTE(MID($C101, FIND("_",$C101, LEN($C101)-5)+1, LEN($C101)), "A","")),
      _xlpm.base_val, _xlfn.IFS(_xlpm.size&lt;=50, 1/6, _xlpm.size&lt;=100, 1/4, _xlpm.size&lt;=150, 1/3, _xlpm.size&lt;=200, 1/2, TRUE, 0),
      IF(ISNUMBER(SEARCH("벽체", $C101)), _xlpm.base_val * 2, _xlpm.base_val)
    ),
  0),
2)</f>
        <v>0.16</v>
      </c>
      <c r="M101" s="125">
        <f t="shared" si="13"/>
        <v>691</v>
      </c>
      <c r="N101" s="451" t="s">
        <v>440</v>
      </c>
      <c r="O101" s="570" t="s">
        <v>183</v>
      </c>
      <c r="P101" s="571"/>
      <c r="Q101" s="12" t="str">
        <f t="shared" si="8"/>
        <v>입상_강관_충진재|입상_강관_충진재_32A|125A(외경 153.8mm 이하)</v>
      </c>
      <c r="S101" s="104"/>
      <c r="T101" s="107"/>
      <c r="U101" s="107"/>
    </row>
    <row r="102" spans="1:21">
      <c r="A102" s="494">
        <f t="shared" si="10"/>
        <v>94</v>
      </c>
      <c r="B102" s="478" t="s">
        <v>60</v>
      </c>
      <c r="C102" s="116" t="s">
        <v>232</v>
      </c>
      <c r="D102" s="117" t="s">
        <v>45</v>
      </c>
      <c r="E102" s="118">
        <v>3580</v>
      </c>
      <c r="F102" s="119">
        <f t="shared" si="7"/>
        <v>7160</v>
      </c>
      <c r="G102" s="120">
        <f t="shared" si="9"/>
        <v>4080</v>
      </c>
      <c r="H102" s="121" t="s">
        <v>102</v>
      </c>
      <c r="I102" s="122">
        <v>152.69999999999999</v>
      </c>
      <c r="J102" s="365">
        <f t="shared" si="11"/>
        <v>3.18125E-2</v>
      </c>
      <c r="K102" s="123">
        <f t="shared" si="12"/>
        <v>1742</v>
      </c>
      <c r="L102" s="124" cm="1">
        <f t="array" ref="L102">TRUNC(
  IF($O102&lt;&gt;0,
    _xlfn.LET(
      _xlpm.size, VALUE(SUBSTITUTE(MID($C102, FIND("_",$C102, LEN($C102)-5)+1, LEN($C102)), "A","")),
      _xlpm.base_val, _xlfn.IFS(_xlpm.size&lt;=50, 1/6, _xlpm.size&lt;=100, 1/4, _xlpm.size&lt;=150, 1/3, _xlpm.size&lt;=200, 1/2, TRUE, 0),
      IF(ISNUMBER(SEARCH("벽체", $C102)), _xlpm.base_val * 2, _xlpm.base_val)
    ),
  0),
2)</f>
        <v>0.16</v>
      </c>
      <c r="M102" s="125">
        <f t="shared" si="13"/>
        <v>691</v>
      </c>
      <c r="N102" s="451" t="s">
        <v>440</v>
      </c>
      <c r="O102" s="570" t="s">
        <v>183</v>
      </c>
      <c r="P102" s="571"/>
      <c r="Q102" s="12" t="str">
        <f t="shared" si="8"/>
        <v>입상_강관_충진재|입상_강관_충진재_40A|50A</v>
      </c>
      <c r="S102" s="104"/>
      <c r="T102" s="107"/>
      <c r="U102" s="107"/>
    </row>
    <row r="103" spans="1:21">
      <c r="A103" s="494">
        <f t="shared" si="10"/>
        <v>95</v>
      </c>
      <c r="B103" s="478" t="s">
        <v>60</v>
      </c>
      <c r="C103" s="116" t="s">
        <v>232</v>
      </c>
      <c r="D103" s="130" t="s">
        <v>46</v>
      </c>
      <c r="E103" s="131">
        <v>4260</v>
      </c>
      <c r="F103" s="120">
        <f t="shared" si="7"/>
        <v>8520</v>
      </c>
      <c r="G103" s="120">
        <f t="shared" si="9"/>
        <v>4850</v>
      </c>
      <c r="H103" s="121" t="s">
        <v>102</v>
      </c>
      <c r="I103" s="122">
        <v>152.69999999999999</v>
      </c>
      <c r="J103" s="365">
        <f t="shared" si="11"/>
        <v>3.18125E-2</v>
      </c>
      <c r="K103" s="123">
        <f t="shared" si="12"/>
        <v>1742</v>
      </c>
      <c r="L103" s="124" cm="1">
        <f t="array" ref="L103">TRUNC(
  IF($O103&lt;&gt;0,
    _xlfn.LET(
      _xlpm.size, VALUE(SUBSTITUTE(MID($C103, FIND("_",$C103, LEN($C103)-5)+1, LEN($C103)), "A","")),
      _xlpm.base_val, _xlfn.IFS(_xlpm.size&lt;=50, 1/6, _xlpm.size&lt;=100, 1/4, _xlpm.size&lt;=150, 1/3, _xlpm.size&lt;=200, 1/2, TRUE, 0),
      IF(ISNUMBER(SEARCH("벽체", $C103)), _xlpm.base_val * 2, _xlpm.base_val)
    ),
  0),
2)</f>
        <v>0.16</v>
      </c>
      <c r="M103" s="125">
        <f t="shared" si="13"/>
        <v>691</v>
      </c>
      <c r="N103" s="451" t="s">
        <v>440</v>
      </c>
      <c r="O103" s="570" t="s">
        <v>183</v>
      </c>
      <c r="P103" s="571"/>
      <c r="Q103" s="12" t="str">
        <f t="shared" si="8"/>
        <v>입상_강관_충진재|입상_강관_충진재_40A|75A</v>
      </c>
      <c r="S103" s="104"/>
      <c r="T103" s="107"/>
      <c r="U103" s="107"/>
    </row>
    <row r="104" spans="1:21">
      <c r="A104" s="494">
        <f t="shared" si="10"/>
        <v>96</v>
      </c>
      <c r="B104" s="478" t="s">
        <v>60</v>
      </c>
      <c r="C104" s="116" t="s">
        <v>232</v>
      </c>
      <c r="D104" s="130" t="s">
        <v>47</v>
      </c>
      <c r="E104" s="131">
        <v>4610</v>
      </c>
      <c r="F104" s="120">
        <f t="shared" si="7"/>
        <v>9220</v>
      </c>
      <c r="G104" s="120">
        <f t="shared" si="9"/>
        <v>5250</v>
      </c>
      <c r="H104" s="121" t="s">
        <v>102</v>
      </c>
      <c r="I104" s="122">
        <v>152.69999999999999</v>
      </c>
      <c r="J104" s="365">
        <f t="shared" si="11"/>
        <v>3.18125E-2</v>
      </c>
      <c r="K104" s="123">
        <f t="shared" si="12"/>
        <v>1742</v>
      </c>
      <c r="L104" s="124" cm="1">
        <f t="array" ref="L104">TRUNC(
  IF($O104&lt;&gt;0,
    _xlfn.LET(
      _xlpm.size, VALUE(SUBSTITUTE(MID($C104, FIND("_",$C104, LEN($C104)-5)+1, LEN($C104)), "A","")),
      _xlpm.base_val, _xlfn.IFS(_xlpm.size&lt;=50, 1/6, _xlpm.size&lt;=100, 1/4, _xlpm.size&lt;=150, 1/3, _xlpm.size&lt;=200, 1/2, TRUE, 0),
      IF(ISNUMBER(SEARCH("벽체", $C104)), _xlpm.base_val * 2, _xlpm.base_val)
    ),
  0),
2)</f>
        <v>0.16</v>
      </c>
      <c r="M104" s="125">
        <f t="shared" si="13"/>
        <v>691</v>
      </c>
      <c r="N104" s="451" t="s">
        <v>440</v>
      </c>
      <c r="O104" s="570" t="s">
        <v>183</v>
      </c>
      <c r="P104" s="571"/>
      <c r="Q104" s="12" t="str">
        <f t="shared" si="8"/>
        <v>입상_강관_충진재|입상_강관_충진재_40A|100A</v>
      </c>
      <c r="S104" s="104"/>
      <c r="T104" s="107"/>
      <c r="U104" s="107"/>
    </row>
    <row r="105" spans="1:21">
      <c r="A105" s="494">
        <f t="shared" si="10"/>
        <v>97</v>
      </c>
      <c r="B105" s="478" t="s">
        <v>60</v>
      </c>
      <c r="C105" s="116" t="s">
        <v>232</v>
      </c>
      <c r="D105" s="130" t="s">
        <v>48</v>
      </c>
      <c r="E105" s="131">
        <v>5400</v>
      </c>
      <c r="F105" s="120">
        <f t="shared" si="7"/>
        <v>10800</v>
      </c>
      <c r="G105" s="120">
        <f t="shared" si="9"/>
        <v>6150</v>
      </c>
      <c r="H105" s="121" t="s">
        <v>102</v>
      </c>
      <c r="I105" s="122">
        <v>152.69999999999999</v>
      </c>
      <c r="J105" s="365">
        <f t="shared" si="11"/>
        <v>3.18125E-2</v>
      </c>
      <c r="K105" s="123">
        <f t="shared" si="12"/>
        <v>1742</v>
      </c>
      <c r="L105" s="124" cm="1">
        <f t="array" ref="L105">TRUNC(
  IF($O105&lt;&gt;0,
    _xlfn.LET(
      _xlpm.size, VALUE(SUBSTITUTE(MID($C105, FIND("_",$C105, LEN($C105)-5)+1, LEN($C105)), "A","")),
      _xlpm.base_val, _xlfn.IFS(_xlpm.size&lt;=50, 1/6, _xlpm.size&lt;=100, 1/4, _xlpm.size&lt;=150, 1/3, _xlpm.size&lt;=200, 1/2, TRUE, 0),
      IF(ISNUMBER(SEARCH("벽체", $C105)), _xlpm.base_val * 2, _xlpm.base_val)
    ),
  0),
2)</f>
        <v>0.16</v>
      </c>
      <c r="M105" s="125">
        <f t="shared" si="13"/>
        <v>691</v>
      </c>
      <c r="N105" s="451" t="s">
        <v>440</v>
      </c>
      <c r="O105" s="570" t="s">
        <v>183</v>
      </c>
      <c r="P105" s="571"/>
      <c r="Q105" s="12" t="str">
        <f t="shared" si="8"/>
        <v>입상_강관_충진재|입상_강관_충진재_40A|125A</v>
      </c>
      <c r="S105" s="104"/>
      <c r="T105" s="107"/>
      <c r="U105" s="107"/>
    </row>
    <row r="106" spans="1:21">
      <c r="A106" s="494">
        <f t="shared" si="10"/>
        <v>98</v>
      </c>
      <c r="B106" s="478" t="s">
        <v>60</v>
      </c>
      <c r="C106" s="116" t="s">
        <v>233</v>
      </c>
      <c r="D106" s="130" t="s">
        <v>46</v>
      </c>
      <c r="E106" s="132">
        <v>4420</v>
      </c>
      <c r="F106" s="133">
        <f t="shared" si="7"/>
        <v>8840</v>
      </c>
      <c r="G106" s="120">
        <f t="shared" si="9"/>
        <v>5030</v>
      </c>
      <c r="H106" s="121" t="s">
        <v>102</v>
      </c>
      <c r="I106" s="122">
        <v>190.1</v>
      </c>
      <c r="J106" s="365">
        <f t="shared" si="11"/>
        <v>3.9604166666666663E-2</v>
      </c>
      <c r="K106" s="123">
        <f t="shared" si="12"/>
        <v>2169</v>
      </c>
      <c r="L106" s="124" cm="1">
        <f t="array" ref="L106">TRUNC(
  IF($O106&lt;&gt;0,
    _xlfn.LET(
      _xlpm.size, VALUE(SUBSTITUTE(MID($C106, FIND("_",$C106, LEN($C106)-5)+1, LEN($C106)), "A","")),
      _xlpm.base_val, _xlfn.IFS(_xlpm.size&lt;=50, 1/6, _xlpm.size&lt;=100, 1/4, _xlpm.size&lt;=150, 1/3, _xlpm.size&lt;=200, 1/2, TRUE, 0),
      IF(ISNUMBER(SEARCH("벽체", $C106)), _xlpm.base_val * 2, _xlpm.base_val)
    ),
  0),
2)</f>
        <v>0.16</v>
      </c>
      <c r="M106" s="125">
        <f t="shared" si="13"/>
        <v>691</v>
      </c>
      <c r="N106" s="451" t="s">
        <v>440</v>
      </c>
      <c r="O106" s="570" t="s">
        <v>183</v>
      </c>
      <c r="P106" s="571"/>
      <c r="Q106" s="12" t="str">
        <f t="shared" si="8"/>
        <v>입상_강관_충진재|입상_강관_충진재_50A|75A</v>
      </c>
      <c r="S106" s="104"/>
      <c r="T106" s="107"/>
      <c r="U106" s="107"/>
    </row>
    <row r="107" spans="1:21">
      <c r="A107" s="494">
        <f t="shared" si="10"/>
        <v>99</v>
      </c>
      <c r="B107" s="478" t="s">
        <v>60</v>
      </c>
      <c r="C107" s="116" t="s">
        <v>233</v>
      </c>
      <c r="D107" s="130" t="s">
        <v>47</v>
      </c>
      <c r="E107" s="132">
        <v>4770</v>
      </c>
      <c r="F107" s="133">
        <f t="shared" si="7"/>
        <v>9540</v>
      </c>
      <c r="G107" s="120">
        <f t="shared" si="9"/>
        <v>5430</v>
      </c>
      <c r="H107" s="121" t="s">
        <v>102</v>
      </c>
      <c r="I107" s="122">
        <v>190.1</v>
      </c>
      <c r="J107" s="365">
        <f t="shared" si="11"/>
        <v>3.9604166666666663E-2</v>
      </c>
      <c r="K107" s="123">
        <f t="shared" si="12"/>
        <v>2169</v>
      </c>
      <c r="L107" s="124" cm="1">
        <f t="array" ref="L107">TRUNC(
  IF($O107&lt;&gt;0,
    _xlfn.LET(
      _xlpm.size, VALUE(SUBSTITUTE(MID($C107, FIND("_",$C107, LEN($C107)-5)+1, LEN($C107)), "A","")),
      _xlpm.base_val, _xlfn.IFS(_xlpm.size&lt;=50, 1/6, _xlpm.size&lt;=100, 1/4, _xlpm.size&lt;=150, 1/3, _xlpm.size&lt;=200, 1/2, TRUE, 0),
      IF(ISNUMBER(SEARCH("벽체", $C107)), _xlpm.base_val * 2, _xlpm.base_val)
    ),
  0),
2)</f>
        <v>0.16</v>
      </c>
      <c r="M107" s="125">
        <f t="shared" si="13"/>
        <v>691</v>
      </c>
      <c r="N107" s="451" t="s">
        <v>440</v>
      </c>
      <c r="O107" s="570" t="s">
        <v>183</v>
      </c>
      <c r="P107" s="571"/>
      <c r="Q107" s="12" t="str">
        <f t="shared" si="8"/>
        <v>입상_강관_충진재|입상_강관_충진재_50A|100A</v>
      </c>
      <c r="S107" s="104"/>
      <c r="T107" s="107"/>
      <c r="U107" s="107"/>
    </row>
    <row r="108" spans="1:21">
      <c r="A108" s="494">
        <f t="shared" si="10"/>
        <v>100</v>
      </c>
      <c r="B108" s="478" t="s">
        <v>60</v>
      </c>
      <c r="C108" s="116" t="s">
        <v>233</v>
      </c>
      <c r="D108" s="130" t="s">
        <v>48</v>
      </c>
      <c r="E108" s="132">
        <v>5560</v>
      </c>
      <c r="F108" s="133">
        <f t="shared" si="7"/>
        <v>11120</v>
      </c>
      <c r="G108" s="120">
        <f t="shared" si="9"/>
        <v>6330</v>
      </c>
      <c r="H108" s="121" t="s">
        <v>102</v>
      </c>
      <c r="I108" s="122">
        <v>190.1</v>
      </c>
      <c r="J108" s="365">
        <f t="shared" si="11"/>
        <v>3.9604166666666663E-2</v>
      </c>
      <c r="K108" s="123">
        <f t="shared" si="12"/>
        <v>2169</v>
      </c>
      <c r="L108" s="124" cm="1">
        <f t="array" ref="L108">TRUNC(
  IF($O108&lt;&gt;0,
    _xlfn.LET(
      _xlpm.size, VALUE(SUBSTITUTE(MID($C108, FIND("_",$C108, LEN($C108)-5)+1, LEN($C108)), "A","")),
      _xlpm.base_val, _xlfn.IFS(_xlpm.size&lt;=50, 1/6, _xlpm.size&lt;=100, 1/4, _xlpm.size&lt;=150, 1/3, _xlpm.size&lt;=200, 1/2, TRUE, 0),
      IF(ISNUMBER(SEARCH("벽체", $C108)), _xlpm.base_val * 2, _xlpm.base_val)
    ),
  0),
2)</f>
        <v>0.16</v>
      </c>
      <c r="M108" s="125">
        <f t="shared" si="13"/>
        <v>691</v>
      </c>
      <c r="N108" s="451" t="s">
        <v>440</v>
      </c>
      <c r="O108" s="570" t="s">
        <v>183</v>
      </c>
      <c r="P108" s="571"/>
      <c r="Q108" s="12" t="str">
        <f t="shared" si="8"/>
        <v>입상_강관_충진재|입상_강관_충진재_50A|125A</v>
      </c>
      <c r="S108" s="104"/>
      <c r="T108" s="107"/>
      <c r="U108" s="107"/>
    </row>
    <row r="109" spans="1:21">
      <c r="A109" s="494">
        <f t="shared" si="10"/>
        <v>101</v>
      </c>
      <c r="B109" s="478" t="s">
        <v>60</v>
      </c>
      <c r="C109" s="116" t="s">
        <v>233</v>
      </c>
      <c r="D109" s="130" t="s">
        <v>180</v>
      </c>
      <c r="E109" s="131">
        <v>6250</v>
      </c>
      <c r="F109" s="120">
        <f t="shared" si="7"/>
        <v>12500</v>
      </c>
      <c r="G109" s="120">
        <f t="shared" si="9"/>
        <v>7120</v>
      </c>
      <c r="H109" s="121" t="s">
        <v>102</v>
      </c>
      <c r="I109" s="122">
        <v>190.1</v>
      </c>
      <c r="J109" s="365">
        <f t="shared" si="11"/>
        <v>3.9604166666666663E-2</v>
      </c>
      <c r="K109" s="123">
        <f t="shared" si="12"/>
        <v>2169</v>
      </c>
      <c r="L109" s="124" cm="1">
        <f t="array" ref="L109">TRUNC(
  IF($O109&lt;&gt;0,
    _xlfn.LET(
      _xlpm.size, VALUE(SUBSTITUTE(MID($C109, FIND("_",$C109, LEN($C109)-5)+1, LEN($C109)), "A","")),
      _xlpm.base_val, _xlfn.IFS(_xlpm.size&lt;=50, 1/6, _xlpm.size&lt;=100, 1/4, _xlpm.size&lt;=150, 1/3, _xlpm.size&lt;=200, 1/2, TRUE, 0),
      IF(ISNUMBER(SEARCH("벽체", $C109)), _xlpm.base_val * 2, _xlpm.base_val)
    ),
  0),
2)</f>
        <v>0.16</v>
      </c>
      <c r="M109" s="125">
        <f t="shared" si="13"/>
        <v>691</v>
      </c>
      <c r="N109" s="451" t="s">
        <v>440</v>
      </c>
      <c r="O109" s="570" t="s">
        <v>183</v>
      </c>
      <c r="P109" s="571"/>
      <c r="Q109" s="12" t="str">
        <f t="shared" si="8"/>
        <v>입상_강관_충진재|입상_강관_충진재_50A|150A(외경 180.3mm 이하)</v>
      </c>
      <c r="S109" s="104"/>
      <c r="T109" s="107"/>
      <c r="U109" s="107"/>
    </row>
    <row r="110" spans="1:21">
      <c r="A110" s="494">
        <f t="shared" si="10"/>
        <v>102</v>
      </c>
      <c r="B110" s="478" t="s">
        <v>60</v>
      </c>
      <c r="C110" s="116" t="s">
        <v>234</v>
      </c>
      <c r="D110" s="130" t="s">
        <v>46</v>
      </c>
      <c r="E110" s="131">
        <v>4660</v>
      </c>
      <c r="F110" s="120">
        <f t="shared" si="7"/>
        <v>9320</v>
      </c>
      <c r="G110" s="120">
        <f t="shared" si="9"/>
        <v>5310</v>
      </c>
      <c r="H110" s="121" t="s">
        <v>102</v>
      </c>
      <c r="I110" s="122">
        <v>239.7</v>
      </c>
      <c r="J110" s="365">
        <f t="shared" si="11"/>
        <v>4.9937499999999996E-2</v>
      </c>
      <c r="K110" s="123">
        <f t="shared" si="12"/>
        <v>2735</v>
      </c>
      <c r="L110" s="124" cm="1">
        <f t="array" ref="L110">TRUNC(
  IF($O110&lt;&gt;0,
    _xlfn.LET(
      _xlpm.size, VALUE(SUBSTITUTE(MID($C110, FIND("_",$C110, LEN($C110)-5)+1, LEN($C110)), "A","")),
      _xlpm.base_val, _xlfn.IFS(_xlpm.size&lt;=50, 1/6, _xlpm.size&lt;=100, 1/4, _xlpm.size&lt;=150, 1/3, _xlpm.size&lt;=200, 1/2, TRUE, 0),
      IF(ISNUMBER(SEARCH("벽체", $C110)), _xlpm.base_val * 2, _xlpm.base_val)
    ),
  0),
2)</f>
        <v>0.25</v>
      </c>
      <c r="M110" s="125">
        <f t="shared" si="13"/>
        <v>1080</v>
      </c>
      <c r="N110" s="451" t="s">
        <v>440</v>
      </c>
      <c r="O110" s="570" t="s">
        <v>183</v>
      </c>
      <c r="P110" s="571"/>
      <c r="Q110" s="12" t="str">
        <f t="shared" si="8"/>
        <v>입상_강관_충진재|입상_강관_충진재_65A|75A</v>
      </c>
      <c r="S110" s="104"/>
      <c r="T110" s="107"/>
      <c r="U110" s="107"/>
    </row>
    <row r="111" spans="1:21">
      <c r="A111" s="494">
        <f t="shared" si="10"/>
        <v>103</v>
      </c>
      <c r="B111" s="478" t="s">
        <v>60</v>
      </c>
      <c r="C111" s="116" t="s">
        <v>234</v>
      </c>
      <c r="D111" s="130" t="s">
        <v>47</v>
      </c>
      <c r="E111" s="131">
        <v>5010</v>
      </c>
      <c r="F111" s="120">
        <f t="shared" si="7"/>
        <v>10020</v>
      </c>
      <c r="G111" s="120">
        <f t="shared" si="9"/>
        <v>5710</v>
      </c>
      <c r="H111" s="121" t="s">
        <v>102</v>
      </c>
      <c r="I111" s="122">
        <v>239.7</v>
      </c>
      <c r="J111" s="365">
        <f t="shared" si="11"/>
        <v>4.9937499999999996E-2</v>
      </c>
      <c r="K111" s="123">
        <f t="shared" si="12"/>
        <v>2735</v>
      </c>
      <c r="L111" s="124" cm="1">
        <f t="array" ref="L111">TRUNC(
  IF($O111&lt;&gt;0,
    _xlfn.LET(
      _xlpm.size, VALUE(SUBSTITUTE(MID($C111, FIND("_",$C111, LEN($C111)-5)+1, LEN($C111)), "A","")),
      _xlpm.base_val, _xlfn.IFS(_xlpm.size&lt;=50, 1/6, _xlpm.size&lt;=100, 1/4, _xlpm.size&lt;=150, 1/3, _xlpm.size&lt;=200, 1/2, TRUE, 0),
      IF(ISNUMBER(SEARCH("벽체", $C111)), _xlpm.base_val * 2, _xlpm.base_val)
    ),
  0),
2)</f>
        <v>0.25</v>
      </c>
      <c r="M111" s="125">
        <f t="shared" si="13"/>
        <v>1080</v>
      </c>
      <c r="N111" s="451" t="s">
        <v>440</v>
      </c>
      <c r="O111" s="570" t="s">
        <v>183</v>
      </c>
      <c r="P111" s="571"/>
      <c r="Q111" s="12" t="str">
        <f t="shared" si="8"/>
        <v>입상_강관_충진재|입상_강관_충진재_65A|100A</v>
      </c>
      <c r="S111" s="104"/>
      <c r="T111" s="107"/>
      <c r="U111" s="107"/>
    </row>
    <row r="112" spans="1:21">
      <c r="A112" s="494">
        <f t="shared" si="10"/>
        <v>104</v>
      </c>
      <c r="B112" s="478" t="s">
        <v>60</v>
      </c>
      <c r="C112" s="116" t="s">
        <v>234</v>
      </c>
      <c r="D112" s="130" t="s">
        <v>48</v>
      </c>
      <c r="E112" s="131">
        <v>5750</v>
      </c>
      <c r="F112" s="120">
        <f t="shared" si="7"/>
        <v>11500</v>
      </c>
      <c r="G112" s="120">
        <f t="shared" si="9"/>
        <v>6550</v>
      </c>
      <c r="H112" s="121" t="s">
        <v>102</v>
      </c>
      <c r="I112" s="122">
        <v>239.7</v>
      </c>
      <c r="J112" s="365">
        <f t="shared" si="11"/>
        <v>4.9937499999999996E-2</v>
      </c>
      <c r="K112" s="123">
        <f t="shared" si="12"/>
        <v>2735</v>
      </c>
      <c r="L112" s="124" cm="1">
        <f t="array" ref="L112">TRUNC(
  IF($O112&lt;&gt;0,
    _xlfn.LET(
      _xlpm.size, VALUE(SUBSTITUTE(MID($C112, FIND("_",$C112, LEN($C112)-5)+1, LEN($C112)), "A","")),
      _xlpm.base_val, _xlfn.IFS(_xlpm.size&lt;=50, 1/6, _xlpm.size&lt;=100, 1/4, _xlpm.size&lt;=150, 1/3, _xlpm.size&lt;=200, 1/2, TRUE, 0),
      IF(ISNUMBER(SEARCH("벽체", $C112)), _xlpm.base_val * 2, _xlpm.base_val)
    ),
  0),
2)</f>
        <v>0.25</v>
      </c>
      <c r="M112" s="125">
        <f t="shared" si="13"/>
        <v>1080</v>
      </c>
      <c r="N112" s="451" t="s">
        <v>440</v>
      </c>
      <c r="O112" s="570" t="s">
        <v>183</v>
      </c>
      <c r="P112" s="571"/>
      <c r="Q112" s="12" t="str">
        <f t="shared" si="8"/>
        <v>입상_강관_충진재|입상_강관_충진재_65A|125A</v>
      </c>
      <c r="S112" s="104"/>
      <c r="T112" s="107"/>
      <c r="U112" s="107"/>
    </row>
    <row r="113" spans="1:21">
      <c r="A113" s="494">
        <f t="shared" si="10"/>
        <v>105</v>
      </c>
      <c r="B113" s="478" t="s">
        <v>60</v>
      </c>
      <c r="C113" s="116" t="s">
        <v>234</v>
      </c>
      <c r="D113" s="130" t="s">
        <v>49</v>
      </c>
      <c r="E113" s="131">
        <v>6410</v>
      </c>
      <c r="F113" s="120">
        <f t="shared" si="7"/>
        <v>12820</v>
      </c>
      <c r="G113" s="120">
        <f t="shared" si="9"/>
        <v>7300</v>
      </c>
      <c r="H113" s="121" t="s">
        <v>102</v>
      </c>
      <c r="I113" s="122">
        <v>239.7</v>
      </c>
      <c r="J113" s="365">
        <f t="shared" si="11"/>
        <v>4.9937499999999996E-2</v>
      </c>
      <c r="K113" s="123">
        <f t="shared" si="12"/>
        <v>2735</v>
      </c>
      <c r="L113" s="124" cm="1">
        <f t="array" ref="L113">TRUNC(
  IF($O113&lt;&gt;0,
    _xlfn.LET(
      _xlpm.size, VALUE(SUBSTITUTE(MID($C113, FIND("_",$C113, LEN($C113)-5)+1, LEN($C113)), "A","")),
      _xlpm.base_val, _xlfn.IFS(_xlpm.size&lt;=50, 1/6, _xlpm.size&lt;=100, 1/4, _xlpm.size&lt;=150, 1/3, _xlpm.size&lt;=200, 1/2, TRUE, 0),
      IF(ISNUMBER(SEARCH("벽체", $C113)), _xlpm.base_val * 2, _xlpm.base_val)
    ),
  0),
2)</f>
        <v>0.25</v>
      </c>
      <c r="M113" s="125">
        <f t="shared" si="13"/>
        <v>1080</v>
      </c>
      <c r="N113" s="451" t="s">
        <v>440</v>
      </c>
      <c r="O113" s="570" t="s">
        <v>183</v>
      </c>
      <c r="P113" s="571"/>
      <c r="Q113" s="12" t="str">
        <f t="shared" si="8"/>
        <v>입상_강관_충진재|입상_강관_충진재_65A|150A</v>
      </c>
      <c r="S113" s="104"/>
      <c r="T113" s="107"/>
      <c r="U113" s="107"/>
    </row>
    <row r="114" spans="1:21">
      <c r="A114" s="494">
        <f t="shared" si="10"/>
        <v>106</v>
      </c>
      <c r="B114" s="478" t="s">
        <v>60</v>
      </c>
      <c r="C114" s="116" t="s">
        <v>235</v>
      </c>
      <c r="D114" s="130" t="s">
        <v>47</v>
      </c>
      <c r="E114" s="131">
        <v>5180</v>
      </c>
      <c r="F114" s="120">
        <f t="shared" si="7"/>
        <v>10360</v>
      </c>
      <c r="G114" s="120">
        <f t="shared" si="9"/>
        <v>5900</v>
      </c>
      <c r="H114" s="121" t="s">
        <v>102</v>
      </c>
      <c r="I114" s="122">
        <v>279.3</v>
      </c>
      <c r="J114" s="365">
        <f t="shared" si="11"/>
        <v>5.8187500000000003E-2</v>
      </c>
      <c r="K114" s="123">
        <f t="shared" si="12"/>
        <v>3187</v>
      </c>
      <c r="L114" s="124" cm="1">
        <f t="array" ref="L114">TRUNC(
  IF($O114&lt;&gt;0,
    _xlfn.LET(
      _xlpm.size, VALUE(SUBSTITUTE(MID($C114, FIND("_",$C114, LEN($C114)-5)+1, LEN($C114)), "A","")),
      _xlpm.base_val, _xlfn.IFS(_xlpm.size&lt;=50, 1/6, _xlpm.size&lt;=100, 1/4, _xlpm.size&lt;=150, 1/3, _xlpm.size&lt;=200, 1/2, TRUE, 0),
      IF(ISNUMBER(SEARCH("벽체", $C114)), _xlpm.base_val * 2, _xlpm.base_val)
    ),
  0),
2)</f>
        <v>0.25</v>
      </c>
      <c r="M114" s="125">
        <f t="shared" si="13"/>
        <v>1080</v>
      </c>
      <c r="N114" s="451" t="s">
        <v>440</v>
      </c>
      <c r="O114" s="570" t="s">
        <v>183</v>
      </c>
      <c r="P114" s="571"/>
      <c r="Q114" s="12" t="str">
        <f t="shared" si="8"/>
        <v>입상_강관_충진재|입상_강관_충진재_80A|100A</v>
      </c>
      <c r="S114" s="104"/>
      <c r="T114" s="107"/>
      <c r="U114" s="107"/>
    </row>
    <row r="115" spans="1:21">
      <c r="A115" s="494">
        <f t="shared" si="10"/>
        <v>107</v>
      </c>
      <c r="B115" s="478" t="s">
        <v>60</v>
      </c>
      <c r="C115" s="116" t="s">
        <v>235</v>
      </c>
      <c r="D115" s="130" t="s">
        <v>48</v>
      </c>
      <c r="E115" s="131">
        <v>5890</v>
      </c>
      <c r="F115" s="120">
        <f t="shared" si="7"/>
        <v>11780</v>
      </c>
      <c r="G115" s="120">
        <f t="shared" si="9"/>
        <v>6710</v>
      </c>
      <c r="H115" s="121" t="s">
        <v>102</v>
      </c>
      <c r="I115" s="122">
        <v>279.3</v>
      </c>
      <c r="J115" s="365">
        <f t="shared" si="11"/>
        <v>5.8187500000000003E-2</v>
      </c>
      <c r="K115" s="123">
        <f t="shared" si="12"/>
        <v>3187</v>
      </c>
      <c r="L115" s="124" cm="1">
        <f t="array" ref="L115">TRUNC(
  IF($O115&lt;&gt;0,
    _xlfn.LET(
      _xlpm.size, VALUE(SUBSTITUTE(MID($C115, FIND("_",$C115, LEN($C115)-5)+1, LEN($C115)), "A","")),
      _xlpm.base_val, _xlfn.IFS(_xlpm.size&lt;=50, 1/6, _xlpm.size&lt;=100, 1/4, _xlpm.size&lt;=150, 1/3, _xlpm.size&lt;=200, 1/2, TRUE, 0),
      IF(ISNUMBER(SEARCH("벽체", $C115)), _xlpm.base_val * 2, _xlpm.base_val)
    ),
  0),
2)</f>
        <v>0.25</v>
      </c>
      <c r="M115" s="125">
        <f t="shared" si="13"/>
        <v>1080</v>
      </c>
      <c r="N115" s="451" t="s">
        <v>440</v>
      </c>
      <c r="O115" s="570" t="s">
        <v>183</v>
      </c>
      <c r="P115" s="571"/>
      <c r="Q115" s="12" t="str">
        <f t="shared" si="8"/>
        <v>입상_강관_충진재|입상_강관_충진재_80A|125A</v>
      </c>
      <c r="S115" s="104"/>
      <c r="T115" s="107"/>
      <c r="U115" s="107"/>
    </row>
    <row r="116" spans="1:21">
      <c r="A116" s="494">
        <f t="shared" si="10"/>
        <v>108</v>
      </c>
      <c r="B116" s="478" t="s">
        <v>60</v>
      </c>
      <c r="C116" s="116" t="s">
        <v>235</v>
      </c>
      <c r="D116" s="130" t="s">
        <v>49</v>
      </c>
      <c r="E116" s="131">
        <v>6540</v>
      </c>
      <c r="F116" s="120">
        <f t="shared" si="7"/>
        <v>13080</v>
      </c>
      <c r="G116" s="120">
        <f t="shared" si="9"/>
        <v>7450</v>
      </c>
      <c r="H116" s="121" t="s">
        <v>102</v>
      </c>
      <c r="I116" s="122">
        <v>279.3</v>
      </c>
      <c r="J116" s="365">
        <f t="shared" si="11"/>
        <v>5.8187500000000003E-2</v>
      </c>
      <c r="K116" s="123">
        <f t="shared" si="12"/>
        <v>3187</v>
      </c>
      <c r="L116" s="124" cm="1">
        <f t="array" ref="L116">TRUNC(
  IF($O116&lt;&gt;0,
    _xlfn.LET(
      _xlpm.size, VALUE(SUBSTITUTE(MID($C116, FIND("_",$C116, LEN($C116)-5)+1, LEN($C116)), "A","")),
      _xlpm.base_val, _xlfn.IFS(_xlpm.size&lt;=50, 1/6, _xlpm.size&lt;=100, 1/4, _xlpm.size&lt;=150, 1/3, _xlpm.size&lt;=200, 1/2, TRUE, 0),
      IF(ISNUMBER(SEARCH("벽체", $C116)), _xlpm.base_val * 2, _xlpm.base_val)
    ),
  0),
2)</f>
        <v>0.25</v>
      </c>
      <c r="M116" s="125">
        <f t="shared" si="13"/>
        <v>1080</v>
      </c>
      <c r="N116" s="451" t="s">
        <v>440</v>
      </c>
      <c r="O116" s="570" t="s">
        <v>183</v>
      </c>
      <c r="P116" s="571"/>
      <c r="Q116" s="12" t="str">
        <f t="shared" si="8"/>
        <v>입상_강관_충진재|입상_강관_충진재_80A|150A</v>
      </c>
      <c r="S116" s="104"/>
      <c r="T116" s="107"/>
      <c r="U116" s="107"/>
    </row>
    <row r="117" spans="1:21">
      <c r="A117" s="494">
        <f t="shared" si="10"/>
        <v>109</v>
      </c>
      <c r="B117" s="478" t="s">
        <v>60</v>
      </c>
      <c r="C117" s="116" t="s">
        <v>236</v>
      </c>
      <c r="D117" s="130" t="s">
        <v>48</v>
      </c>
      <c r="E117" s="131">
        <v>6140</v>
      </c>
      <c r="F117" s="120">
        <f t="shared" si="7"/>
        <v>12280</v>
      </c>
      <c r="G117" s="120">
        <f t="shared" si="9"/>
        <v>6990</v>
      </c>
      <c r="H117" s="121" t="s">
        <v>102</v>
      </c>
      <c r="I117" s="122">
        <v>359.1</v>
      </c>
      <c r="J117" s="365">
        <f t="shared" si="11"/>
        <v>7.4812500000000004E-2</v>
      </c>
      <c r="K117" s="123">
        <f t="shared" si="12"/>
        <v>4098</v>
      </c>
      <c r="L117" s="124" cm="1">
        <f t="array" ref="L117">TRUNC(
  IF($O117&lt;&gt;0,
    _xlfn.LET(
      _xlpm.size, VALUE(SUBSTITUTE(MID($C117, FIND("_",$C117, LEN($C117)-5)+1, LEN($C117)), "A","")),
      _xlpm.base_val, _xlfn.IFS(_xlpm.size&lt;=50, 1/6, _xlpm.size&lt;=100, 1/4, _xlpm.size&lt;=150, 1/3, _xlpm.size&lt;=200, 1/2, TRUE, 0),
      IF(ISNUMBER(SEARCH("벽체", $C117)), _xlpm.base_val * 2, _xlpm.base_val)
    ),
  0),
2)</f>
        <v>0.25</v>
      </c>
      <c r="M117" s="125">
        <f t="shared" si="13"/>
        <v>1080</v>
      </c>
      <c r="N117" s="451" t="s">
        <v>440</v>
      </c>
      <c r="O117" s="570" t="s">
        <v>183</v>
      </c>
      <c r="P117" s="571"/>
      <c r="Q117" s="12" t="str">
        <f t="shared" si="8"/>
        <v>입상_강관_충진재|입상_강관_충진재_100A|125A</v>
      </c>
      <c r="S117" s="104"/>
      <c r="T117" s="107"/>
      <c r="U117" s="107"/>
    </row>
    <row r="118" spans="1:21">
      <c r="A118" s="494">
        <f t="shared" si="10"/>
        <v>110</v>
      </c>
      <c r="B118" s="478" t="s">
        <v>60</v>
      </c>
      <c r="C118" s="116" t="s">
        <v>236</v>
      </c>
      <c r="D118" s="130" t="s">
        <v>49</v>
      </c>
      <c r="E118" s="131">
        <v>6760</v>
      </c>
      <c r="F118" s="120">
        <f t="shared" si="7"/>
        <v>13520</v>
      </c>
      <c r="G118" s="120">
        <f t="shared" si="9"/>
        <v>7700</v>
      </c>
      <c r="H118" s="121" t="s">
        <v>102</v>
      </c>
      <c r="I118" s="122">
        <v>359.1</v>
      </c>
      <c r="J118" s="365">
        <f t="shared" si="11"/>
        <v>7.4812500000000004E-2</v>
      </c>
      <c r="K118" s="123">
        <f t="shared" si="12"/>
        <v>4098</v>
      </c>
      <c r="L118" s="124" cm="1">
        <f t="array" ref="L118">TRUNC(
  IF($O118&lt;&gt;0,
    _xlfn.LET(
      _xlpm.size, VALUE(SUBSTITUTE(MID($C118, FIND("_",$C118, LEN($C118)-5)+1, LEN($C118)), "A","")),
      _xlpm.base_val, _xlfn.IFS(_xlpm.size&lt;=50, 1/6, _xlpm.size&lt;=100, 1/4, _xlpm.size&lt;=150, 1/3, _xlpm.size&lt;=200, 1/2, TRUE, 0),
      IF(ISNUMBER(SEARCH("벽체", $C118)), _xlpm.base_val * 2, _xlpm.base_val)
    ),
  0),
2)</f>
        <v>0.25</v>
      </c>
      <c r="M118" s="125">
        <f t="shared" si="13"/>
        <v>1080</v>
      </c>
      <c r="N118" s="451" t="s">
        <v>440</v>
      </c>
      <c r="O118" s="570" t="s">
        <v>183</v>
      </c>
      <c r="P118" s="571"/>
      <c r="Q118" s="12" t="str">
        <f t="shared" si="8"/>
        <v>입상_강관_충진재|입상_강관_충진재_100A|150A</v>
      </c>
      <c r="S118" s="104"/>
      <c r="T118" s="107"/>
      <c r="U118" s="107"/>
    </row>
    <row r="119" spans="1:21">
      <c r="A119" s="494">
        <f t="shared" si="10"/>
        <v>111</v>
      </c>
      <c r="B119" s="478" t="s">
        <v>60</v>
      </c>
      <c r="C119" s="116" t="s">
        <v>236</v>
      </c>
      <c r="D119" s="134" t="s">
        <v>181</v>
      </c>
      <c r="E119" s="135">
        <v>8650</v>
      </c>
      <c r="F119" s="129">
        <f t="shared" si="7"/>
        <v>17300</v>
      </c>
      <c r="G119" s="129">
        <f t="shared" si="9"/>
        <v>9860</v>
      </c>
      <c r="H119" s="121" t="s">
        <v>102</v>
      </c>
      <c r="I119" s="123">
        <v>359.1</v>
      </c>
      <c r="J119" s="365">
        <f t="shared" si="11"/>
        <v>7.4812500000000004E-2</v>
      </c>
      <c r="K119" s="123">
        <f t="shared" si="12"/>
        <v>4098</v>
      </c>
      <c r="L119" s="124" cm="1">
        <f t="array" ref="L119">TRUNC(
  IF($O119&lt;&gt;0,
    _xlfn.LET(
      _xlpm.size, VALUE(SUBSTITUTE(MID($C119, FIND("_",$C119, LEN($C119)-5)+1, LEN($C119)), "A","")),
      _xlpm.base_val, _xlfn.IFS(_xlpm.size&lt;=50, 1/6, _xlpm.size&lt;=100, 1/4, _xlpm.size&lt;=150, 1/3, _xlpm.size&lt;=200, 1/2, TRUE, 0),
      IF(ISNUMBER(SEARCH("벽체", $C119)), _xlpm.base_val * 2, _xlpm.base_val)
    ),
  0),
2)</f>
        <v>0.25</v>
      </c>
      <c r="M119" s="125">
        <f t="shared" si="13"/>
        <v>1080</v>
      </c>
      <c r="N119" s="451" t="s">
        <v>440</v>
      </c>
      <c r="O119" s="570" t="s">
        <v>183</v>
      </c>
      <c r="P119" s="571"/>
      <c r="Q119" s="12" t="str">
        <f t="shared" si="8"/>
        <v>입상_강관_충진재|입상_강관_충진재_100A|200A(외경 234.1mm 이하)</v>
      </c>
      <c r="S119" s="104"/>
      <c r="T119" s="107"/>
      <c r="U119" s="107"/>
    </row>
    <row r="120" spans="1:21">
      <c r="A120" s="494">
        <f t="shared" si="10"/>
        <v>112</v>
      </c>
      <c r="B120" s="478" t="s">
        <v>60</v>
      </c>
      <c r="C120" s="116" t="s">
        <v>237</v>
      </c>
      <c r="D120" s="134" t="s">
        <v>49</v>
      </c>
      <c r="E120" s="135">
        <v>6910</v>
      </c>
      <c r="F120" s="129">
        <f t="shared" si="7"/>
        <v>13820</v>
      </c>
      <c r="G120" s="129">
        <f t="shared" si="9"/>
        <v>7870</v>
      </c>
      <c r="H120" s="121" t="s">
        <v>102</v>
      </c>
      <c r="I120" s="123">
        <v>439.2</v>
      </c>
      <c r="J120" s="365">
        <f t="shared" si="11"/>
        <v>9.1499999999999998E-2</v>
      </c>
      <c r="K120" s="123">
        <f t="shared" si="12"/>
        <v>5012</v>
      </c>
      <c r="L120" s="124" cm="1">
        <f t="array" ref="L120">TRUNC(
  IF($O120&lt;&gt;0,
    _xlfn.LET(
      _xlpm.size, VALUE(SUBSTITUTE(MID($C120, FIND("_",$C120, LEN($C120)-5)+1, LEN($C120)), "A","")),
      _xlpm.base_val, _xlfn.IFS(_xlpm.size&lt;=50, 1/6, _xlpm.size&lt;=100, 1/4, _xlpm.size&lt;=150, 1/3, _xlpm.size&lt;=200, 1/2, TRUE, 0),
      IF(ISNUMBER(SEARCH("벽체", $C120)), _xlpm.base_val * 2, _xlpm.base_val)
    ),
  0),
2)</f>
        <v>0.33</v>
      </c>
      <c r="M120" s="125">
        <f t="shared" si="13"/>
        <v>1425</v>
      </c>
      <c r="N120" s="451" t="s">
        <v>440</v>
      </c>
      <c r="O120" s="570" t="s">
        <v>183</v>
      </c>
      <c r="P120" s="571"/>
      <c r="Q120" s="12" t="str">
        <f t="shared" si="8"/>
        <v>입상_강관_충진재|입상_강관_충진재_125A|150A</v>
      </c>
      <c r="S120" s="104"/>
      <c r="T120" s="107"/>
      <c r="U120" s="107"/>
    </row>
    <row r="121" spans="1:21">
      <c r="A121" s="494">
        <f t="shared" si="10"/>
        <v>113</v>
      </c>
      <c r="B121" s="478" t="s">
        <v>60</v>
      </c>
      <c r="C121" s="116" t="s">
        <v>237</v>
      </c>
      <c r="D121" s="134" t="s">
        <v>50</v>
      </c>
      <c r="E121" s="135">
        <v>8710</v>
      </c>
      <c r="F121" s="129">
        <f t="shared" si="7"/>
        <v>17420</v>
      </c>
      <c r="G121" s="129">
        <f t="shared" si="9"/>
        <v>9920</v>
      </c>
      <c r="H121" s="121" t="s">
        <v>102</v>
      </c>
      <c r="I121" s="123">
        <v>439.2</v>
      </c>
      <c r="J121" s="365">
        <f t="shared" si="11"/>
        <v>9.1499999999999998E-2</v>
      </c>
      <c r="K121" s="123">
        <f t="shared" ref="K121:K143" si="14">FLOOR(($I121 / RIGHT($H121, LEN($H121) - FIND("@", SUBSTITUTE($H121, "*", "@", 2)))) * VLOOKUP($H121, $C$255:$G$259, 5, FALSE), 1)</f>
        <v>5012</v>
      </c>
      <c r="L121" s="124" cm="1">
        <f t="array" ref="L121">TRUNC(
  IF($O121&lt;&gt;0,
    _xlfn.LET(
      _xlpm.size, VALUE(SUBSTITUTE(MID($C121, FIND("_",$C121, LEN($C121)-5)+1, LEN($C121)), "A","")),
      _xlpm.base_val, _xlfn.IFS(_xlpm.size&lt;=50, 1/6, _xlpm.size&lt;=100, 1/4, _xlpm.size&lt;=150, 1/3, _xlpm.size&lt;=200, 1/2, TRUE, 0),
      IF(ISNUMBER(SEARCH("벽체", $C121)), _xlpm.base_val * 2, _xlpm.base_val)
    ),
  0),
2)</f>
        <v>0.33</v>
      </c>
      <c r="M121" s="125">
        <f t="shared" si="13"/>
        <v>1425</v>
      </c>
      <c r="N121" s="451" t="s">
        <v>440</v>
      </c>
      <c r="O121" s="570" t="s">
        <v>183</v>
      </c>
      <c r="P121" s="571"/>
      <c r="Q121" s="12" t="str">
        <f t="shared" si="8"/>
        <v>입상_강관_충진재|입상_강관_충진재_125A|200A</v>
      </c>
      <c r="S121" s="104"/>
      <c r="T121" s="107"/>
      <c r="U121" s="107"/>
    </row>
    <row r="122" spans="1:21">
      <c r="A122" s="494">
        <f t="shared" si="10"/>
        <v>114</v>
      </c>
      <c r="B122" s="478" t="s">
        <v>60</v>
      </c>
      <c r="C122" s="116" t="s">
        <v>238</v>
      </c>
      <c r="D122" s="134" t="s">
        <v>50</v>
      </c>
      <c r="E122" s="135">
        <v>8740</v>
      </c>
      <c r="F122" s="129">
        <f t="shared" si="7"/>
        <v>17480</v>
      </c>
      <c r="G122" s="129">
        <f t="shared" si="9"/>
        <v>9960</v>
      </c>
      <c r="H122" s="121" t="s">
        <v>102</v>
      </c>
      <c r="I122" s="123">
        <v>518.9</v>
      </c>
      <c r="J122" s="365">
        <f t="shared" si="11"/>
        <v>0.10810416666666667</v>
      </c>
      <c r="K122" s="123">
        <f t="shared" si="14"/>
        <v>5921</v>
      </c>
      <c r="L122" s="124" cm="1">
        <f t="array" ref="L122">TRUNC(
  IF($O122&lt;&gt;0,
    _xlfn.LET(
      _xlpm.size, VALUE(SUBSTITUTE(MID($C122, FIND("_",$C122, LEN($C122)-5)+1, LEN($C122)), "A","")),
      _xlpm.base_val, _xlfn.IFS(_xlpm.size&lt;=50, 1/6, _xlpm.size&lt;=100, 1/4, _xlpm.size&lt;=150, 1/3, _xlpm.size&lt;=200, 1/2, TRUE, 0),
      IF(ISNUMBER(SEARCH("벽체", $C122)), _xlpm.base_val * 2, _xlpm.base_val)
    ),
  0),
2)</f>
        <v>0.33</v>
      </c>
      <c r="M122" s="125">
        <f t="shared" si="13"/>
        <v>1425</v>
      </c>
      <c r="N122" s="451" t="s">
        <v>440</v>
      </c>
      <c r="O122" s="570" t="s">
        <v>183</v>
      </c>
      <c r="P122" s="571"/>
      <c r="Q122" s="12" t="str">
        <f t="shared" si="8"/>
        <v>입상_강관_충진재|입상_강관_충진재_150A|200A</v>
      </c>
      <c r="S122" s="104"/>
      <c r="T122" s="107"/>
      <c r="U122" s="107"/>
    </row>
    <row r="123" spans="1:21">
      <c r="A123" s="494">
        <f t="shared" si="10"/>
        <v>115</v>
      </c>
      <c r="B123" s="478" t="s">
        <v>60</v>
      </c>
      <c r="C123" s="116" t="s">
        <v>238</v>
      </c>
      <c r="D123" s="134" t="s">
        <v>182</v>
      </c>
      <c r="E123" s="135">
        <v>10930</v>
      </c>
      <c r="F123" s="129">
        <f t="shared" si="7"/>
        <v>21860</v>
      </c>
      <c r="G123" s="129">
        <f t="shared" si="9"/>
        <v>12460</v>
      </c>
      <c r="H123" s="121" t="s">
        <v>102</v>
      </c>
      <c r="I123" s="123">
        <v>518.9</v>
      </c>
      <c r="J123" s="365">
        <f t="shared" si="11"/>
        <v>0.10810416666666667</v>
      </c>
      <c r="K123" s="123">
        <f t="shared" si="14"/>
        <v>5921</v>
      </c>
      <c r="L123" s="124" cm="1">
        <f t="array" ref="L123">TRUNC(
  IF($O123&lt;&gt;0,
    _xlfn.LET(
      _xlpm.size, VALUE(SUBSTITUTE(MID($C123, FIND("_",$C123, LEN($C123)-5)+1, LEN($C123)), "A","")),
      _xlpm.base_val, _xlfn.IFS(_xlpm.size&lt;=50, 1/6, _xlpm.size&lt;=100, 1/4, _xlpm.size&lt;=150, 1/3, _xlpm.size&lt;=200, 1/2, TRUE, 0),
      IF(ISNUMBER(SEARCH("벽체", $C123)), _xlpm.base_val * 2, _xlpm.base_val)
    ),
  0),
2)</f>
        <v>0.33</v>
      </c>
      <c r="M123" s="125">
        <f t="shared" si="13"/>
        <v>1425</v>
      </c>
      <c r="N123" s="451" t="s">
        <v>440</v>
      </c>
      <c r="O123" s="570" t="s">
        <v>183</v>
      </c>
      <c r="P123" s="571"/>
      <c r="Q123" s="12" t="str">
        <f t="shared" si="8"/>
        <v>입상_강관_충진재|입상_강관_충진재_150A|250A(외경 285mm 이하)</v>
      </c>
    </row>
    <row r="124" spans="1:21">
      <c r="A124" s="494">
        <f t="shared" si="10"/>
        <v>116</v>
      </c>
      <c r="B124" s="477" t="s">
        <v>241</v>
      </c>
      <c r="C124" s="50" t="s">
        <v>251</v>
      </c>
      <c r="D124" s="198" t="s">
        <v>45</v>
      </c>
      <c r="E124" s="199">
        <v>4940</v>
      </c>
      <c r="F124" s="200">
        <f t="shared" si="7"/>
        <v>9880</v>
      </c>
      <c r="G124" s="170">
        <f t="shared" si="9"/>
        <v>5630</v>
      </c>
      <c r="H124" s="171" t="s">
        <v>291</v>
      </c>
      <c r="I124" s="201">
        <v>66.900000000000006</v>
      </c>
      <c r="J124" s="364">
        <f t="shared" si="11"/>
        <v>1.3937500000000002E-2</v>
      </c>
      <c r="K124" s="202">
        <f t="shared" si="14"/>
        <v>381</v>
      </c>
      <c r="L124" s="203"/>
      <c r="M124" s="204"/>
      <c r="N124" s="450"/>
      <c r="O124" s="586"/>
      <c r="P124" s="587"/>
      <c r="Q124" s="12" t="str">
        <f t="shared" si="8"/>
        <v>입상_강관_고정구_일체형|입상_강관_고정구_일체형_15A|50A</v>
      </c>
      <c r="S124" s="104"/>
      <c r="T124" s="107"/>
      <c r="U124" s="107"/>
    </row>
    <row r="125" spans="1:21">
      <c r="A125" s="494">
        <f t="shared" si="10"/>
        <v>117</v>
      </c>
      <c r="B125" s="477" t="s">
        <v>240</v>
      </c>
      <c r="C125" s="50" t="s">
        <v>242</v>
      </c>
      <c r="D125" s="198" t="s">
        <v>46</v>
      </c>
      <c r="E125" s="199">
        <v>4940</v>
      </c>
      <c r="F125" s="200">
        <f t="shared" si="7"/>
        <v>9880</v>
      </c>
      <c r="G125" s="170">
        <f t="shared" si="9"/>
        <v>5630</v>
      </c>
      <c r="H125" s="171" t="s">
        <v>291</v>
      </c>
      <c r="I125" s="201">
        <v>66.900000000000006</v>
      </c>
      <c r="J125" s="364">
        <f t="shared" si="11"/>
        <v>1.3937500000000002E-2</v>
      </c>
      <c r="K125" s="202">
        <f t="shared" si="14"/>
        <v>381</v>
      </c>
      <c r="L125" s="203"/>
      <c r="M125" s="204"/>
      <c r="N125" s="450"/>
      <c r="O125" s="586"/>
      <c r="P125" s="587"/>
      <c r="Q125" s="12" t="str">
        <f t="shared" si="8"/>
        <v>입상_강관_고정구_일체형|입상_강관_고정구_일체형_15A|75A</v>
      </c>
      <c r="S125" s="104"/>
      <c r="T125" s="107"/>
      <c r="U125" s="107"/>
    </row>
    <row r="126" spans="1:21">
      <c r="A126" s="494">
        <f t="shared" si="10"/>
        <v>118</v>
      </c>
      <c r="B126" s="477" t="s">
        <v>240</v>
      </c>
      <c r="C126" s="50" t="s">
        <v>243</v>
      </c>
      <c r="D126" s="198" t="s">
        <v>46</v>
      </c>
      <c r="E126" s="199">
        <v>4940</v>
      </c>
      <c r="F126" s="200">
        <f t="shared" si="7"/>
        <v>9880</v>
      </c>
      <c r="G126" s="170">
        <f t="shared" si="9"/>
        <v>5630</v>
      </c>
      <c r="H126" s="171" t="s">
        <v>291</v>
      </c>
      <c r="I126" s="201">
        <v>83.9</v>
      </c>
      <c r="J126" s="364">
        <f t="shared" si="11"/>
        <v>1.7479166666666667E-2</v>
      </c>
      <c r="K126" s="202">
        <f t="shared" si="14"/>
        <v>478</v>
      </c>
      <c r="L126" s="203"/>
      <c r="M126" s="204"/>
      <c r="N126" s="450"/>
      <c r="O126" s="586"/>
      <c r="P126" s="587"/>
      <c r="Q126" s="12" t="str">
        <f t="shared" si="8"/>
        <v>입상_강관_고정구_일체형|입상_강관_고정구_일체형_20A|75A</v>
      </c>
      <c r="S126" s="104"/>
      <c r="T126" s="107"/>
      <c r="U126" s="107"/>
    </row>
    <row r="127" spans="1:21">
      <c r="A127" s="494">
        <f t="shared" si="10"/>
        <v>119</v>
      </c>
      <c r="B127" s="477" t="s">
        <v>240</v>
      </c>
      <c r="C127" s="50" t="s">
        <v>243</v>
      </c>
      <c r="D127" s="198" t="s">
        <v>47</v>
      </c>
      <c r="E127" s="199">
        <v>4940</v>
      </c>
      <c r="F127" s="200">
        <f t="shared" si="7"/>
        <v>9880</v>
      </c>
      <c r="G127" s="170">
        <f t="shared" si="9"/>
        <v>5630</v>
      </c>
      <c r="H127" s="171" t="s">
        <v>291</v>
      </c>
      <c r="I127" s="201">
        <v>83.9</v>
      </c>
      <c r="J127" s="364">
        <f t="shared" si="11"/>
        <v>1.7479166666666667E-2</v>
      </c>
      <c r="K127" s="202">
        <f t="shared" si="14"/>
        <v>478</v>
      </c>
      <c r="L127" s="203"/>
      <c r="M127" s="204"/>
      <c r="N127" s="450"/>
      <c r="O127" s="586"/>
      <c r="P127" s="587"/>
      <c r="Q127" s="12" t="str">
        <f t="shared" si="8"/>
        <v>입상_강관_고정구_일체형|입상_강관_고정구_일체형_20A|100A</v>
      </c>
      <c r="S127" s="104"/>
      <c r="T127" s="107"/>
      <c r="U127" s="107"/>
    </row>
    <row r="128" spans="1:21">
      <c r="A128" s="494">
        <f t="shared" si="10"/>
        <v>120</v>
      </c>
      <c r="B128" s="477" t="s">
        <v>240</v>
      </c>
      <c r="C128" s="50" t="s">
        <v>244</v>
      </c>
      <c r="D128" s="198" t="s">
        <v>46</v>
      </c>
      <c r="E128" s="199">
        <v>4940</v>
      </c>
      <c r="F128" s="200">
        <f t="shared" si="7"/>
        <v>9880</v>
      </c>
      <c r="G128" s="170">
        <f t="shared" si="9"/>
        <v>5630</v>
      </c>
      <c r="H128" s="171" t="s">
        <v>291</v>
      </c>
      <c r="I128" s="201">
        <v>104.9</v>
      </c>
      <c r="J128" s="364">
        <f t="shared" si="11"/>
        <v>2.1854166666666668E-2</v>
      </c>
      <c r="K128" s="202">
        <f t="shared" si="14"/>
        <v>598</v>
      </c>
      <c r="L128" s="203"/>
      <c r="M128" s="204"/>
      <c r="N128" s="450"/>
      <c r="O128" s="586"/>
      <c r="P128" s="587"/>
      <c r="Q128" s="12" t="str">
        <f t="shared" si="8"/>
        <v>입상_강관_고정구_일체형|입상_강관_고정구_일체형_25A|75A</v>
      </c>
      <c r="S128" s="104"/>
      <c r="T128" s="107"/>
      <c r="U128" s="107"/>
    </row>
    <row r="129" spans="1:21">
      <c r="A129" s="494">
        <f t="shared" si="10"/>
        <v>121</v>
      </c>
      <c r="B129" s="477" t="s">
        <v>240</v>
      </c>
      <c r="C129" s="50" t="s">
        <v>244</v>
      </c>
      <c r="D129" s="198" t="s">
        <v>47</v>
      </c>
      <c r="E129" s="199">
        <v>4940</v>
      </c>
      <c r="F129" s="200">
        <f t="shared" si="7"/>
        <v>9880</v>
      </c>
      <c r="G129" s="170">
        <f t="shared" si="9"/>
        <v>5630</v>
      </c>
      <c r="H129" s="171" t="s">
        <v>291</v>
      </c>
      <c r="I129" s="201">
        <v>104.9</v>
      </c>
      <c r="J129" s="364">
        <f t="shared" si="11"/>
        <v>2.1854166666666668E-2</v>
      </c>
      <c r="K129" s="202">
        <f t="shared" si="14"/>
        <v>598</v>
      </c>
      <c r="L129" s="203"/>
      <c r="M129" s="204"/>
      <c r="N129" s="450"/>
      <c r="O129" s="586"/>
      <c r="P129" s="587"/>
      <c r="Q129" s="12" t="str">
        <f t="shared" si="8"/>
        <v>입상_강관_고정구_일체형|입상_강관_고정구_일체형_25A|100A</v>
      </c>
      <c r="S129" s="104"/>
      <c r="T129" s="107"/>
      <c r="U129" s="107"/>
    </row>
    <row r="130" spans="1:21">
      <c r="A130" s="494">
        <f t="shared" si="10"/>
        <v>122</v>
      </c>
      <c r="B130" s="477" t="s">
        <v>240</v>
      </c>
      <c r="C130" s="50" t="s">
        <v>245</v>
      </c>
      <c r="D130" s="198" t="s">
        <v>46</v>
      </c>
      <c r="E130" s="199">
        <v>5230</v>
      </c>
      <c r="F130" s="200">
        <f t="shared" si="7"/>
        <v>10460</v>
      </c>
      <c r="G130" s="170">
        <f t="shared" si="9"/>
        <v>5960</v>
      </c>
      <c r="H130" s="171" t="s">
        <v>291</v>
      </c>
      <c r="I130" s="201">
        <v>134.1</v>
      </c>
      <c r="J130" s="364">
        <f t="shared" si="11"/>
        <v>2.7937500000000001E-2</v>
      </c>
      <c r="K130" s="202">
        <f t="shared" si="14"/>
        <v>765</v>
      </c>
      <c r="L130" s="203"/>
      <c r="M130" s="204"/>
      <c r="N130" s="450"/>
      <c r="O130" s="586"/>
      <c r="P130" s="587"/>
      <c r="Q130" s="12" t="str">
        <f t="shared" si="8"/>
        <v>입상_강관_고정구_일체형|입상_강관_고정구_일체형_32A|75A</v>
      </c>
      <c r="S130" s="104"/>
      <c r="T130" s="107"/>
      <c r="U130" s="107"/>
    </row>
    <row r="131" spans="1:21">
      <c r="A131" s="494">
        <f t="shared" si="10"/>
        <v>123</v>
      </c>
      <c r="B131" s="477" t="s">
        <v>240</v>
      </c>
      <c r="C131" s="50" t="s">
        <v>245</v>
      </c>
      <c r="D131" s="198" t="s">
        <v>47</v>
      </c>
      <c r="E131" s="199">
        <v>5230</v>
      </c>
      <c r="F131" s="200">
        <f t="shared" si="7"/>
        <v>10460</v>
      </c>
      <c r="G131" s="170">
        <f t="shared" si="9"/>
        <v>5960</v>
      </c>
      <c r="H131" s="171" t="s">
        <v>291</v>
      </c>
      <c r="I131" s="201">
        <v>134.1</v>
      </c>
      <c r="J131" s="364">
        <f t="shared" si="11"/>
        <v>2.7937500000000001E-2</v>
      </c>
      <c r="K131" s="202">
        <f t="shared" si="14"/>
        <v>765</v>
      </c>
      <c r="L131" s="203"/>
      <c r="M131" s="204"/>
      <c r="N131" s="450"/>
      <c r="O131" s="586"/>
      <c r="P131" s="587"/>
      <c r="Q131" s="12" t="str">
        <f t="shared" si="8"/>
        <v>입상_강관_고정구_일체형|입상_강관_고정구_일체형_32A|100A</v>
      </c>
      <c r="S131" s="104"/>
      <c r="T131" s="107"/>
      <c r="U131" s="107"/>
    </row>
    <row r="132" spans="1:21">
      <c r="A132" s="494">
        <f t="shared" si="10"/>
        <v>124</v>
      </c>
      <c r="B132" s="477" t="s">
        <v>240</v>
      </c>
      <c r="C132" s="50" t="s">
        <v>246</v>
      </c>
      <c r="D132" s="198" t="s">
        <v>46</v>
      </c>
      <c r="E132" s="199">
        <v>5230</v>
      </c>
      <c r="F132" s="200">
        <f t="shared" si="7"/>
        <v>10460</v>
      </c>
      <c r="G132" s="170">
        <f t="shared" si="9"/>
        <v>5960</v>
      </c>
      <c r="H132" s="171" t="s">
        <v>291</v>
      </c>
      <c r="I132" s="201">
        <v>152.69999999999999</v>
      </c>
      <c r="J132" s="364">
        <f t="shared" si="11"/>
        <v>3.18125E-2</v>
      </c>
      <c r="K132" s="202">
        <f t="shared" si="14"/>
        <v>871</v>
      </c>
      <c r="L132" s="203"/>
      <c r="M132" s="204"/>
      <c r="N132" s="450"/>
      <c r="O132" s="586"/>
      <c r="P132" s="587"/>
      <c r="Q132" s="12" t="str">
        <f t="shared" si="8"/>
        <v>입상_강관_고정구_일체형|입상_강관_고정구_일체형_40A|75A</v>
      </c>
      <c r="S132" s="104"/>
      <c r="T132" s="107"/>
      <c r="U132" s="107"/>
    </row>
    <row r="133" spans="1:21">
      <c r="A133" s="494">
        <f t="shared" si="10"/>
        <v>125</v>
      </c>
      <c r="B133" s="477" t="s">
        <v>240</v>
      </c>
      <c r="C133" s="50" t="s">
        <v>246</v>
      </c>
      <c r="D133" s="198" t="s">
        <v>47</v>
      </c>
      <c r="E133" s="199">
        <v>5230</v>
      </c>
      <c r="F133" s="200">
        <f t="shared" si="7"/>
        <v>10460</v>
      </c>
      <c r="G133" s="170">
        <f t="shared" si="9"/>
        <v>5960</v>
      </c>
      <c r="H133" s="171" t="s">
        <v>291</v>
      </c>
      <c r="I133" s="201">
        <v>152.69999999999999</v>
      </c>
      <c r="J133" s="364">
        <f t="shared" si="11"/>
        <v>3.18125E-2</v>
      </c>
      <c r="K133" s="202">
        <f t="shared" si="14"/>
        <v>871</v>
      </c>
      <c r="L133" s="203"/>
      <c r="M133" s="204"/>
      <c r="N133" s="450"/>
      <c r="O133" s="586"/>
      <c r="P133" s="587"/>
      <c r="Q133" s="12" t="str">
        <f t="shared" si="8"/>
        <v>입상_강관_고정구_일체형|입상_강관_고정구_일체형_40A|100A</v>
      </c>
      <c r="S133" s="104"/>
      <c r="T133" s="107"/>
      <c r="U133" s="107"/>
    </row>
    <row r="134" spans="1:21">
      <c r="A134" s="494">
        <f t="shared" si="10"/>
        <v>126</v>
      </c>
      <c r="B134" s="477" t="s">
        <v>240</v>
      </c>
      <c r="C134" s="50" t="s">
        <v>246</v>
      </c>
      <c r="D134" s="198" t="s">
        <v>48</v>
      </c>
      <c r="E134" s="199">
        <v>7880</v>
      </c>
      <c r="F134" s="200">
        <f t="shared" si="7"/>
        <v>15760</v>
      </c>
      <c r="G134" s="170">
        <f t="shared" si="9"/>
        <v>8980</v>
      </c>
      <c r="H134" s="171" t="s">
        <v>291</v>
      </c>
      <c r="I134" s="201">
        <v>152.69999999999999</v>
      </c>
      <c r="J134" s="364">
        <f t="shared" si="11"/>
        <v>3.18125E-2</v>
      </c>
      <c r="K134" s="202">
        <f t="shared" si="14"/>
        <v>871</v>
      </c>
      <c r="L134" s="203"/>
      <c r="M134" s="204"/>
      <c r="N134" s="450"/>
      <c r="O134" s="586"/>
      <c r="P134" s="587"/>
      <c r="Q134" s="12" t="str">
        <f t="shared" si="8"/>
        <v>입상_강관_고정구_일체형|입상_강관_고정구_일체형_40A|125A</v>
      </c>
      <c r="S134" s="104"/>
      <c r="T134" s="107"/>
      <c r="U134" s="107"/>
    </row>
    <row r="135" spans="1:21">
      <c r="A135" s="494">
        <f t="shared" si="10"/>
        <v>127</v>
      </c>
      <c r="B135" s="477" t="s">
        <v>240</v>
      </c>
      <c r="C135" s="50" t="s">
        <v>247</v>
      </c>
      <c r="D135" s="51" t="s">
        <v>46</v>
      </c>
      <c r="E135" s="169">
        <v>5630</v>
      </c>
      <c r="F135" s="170">
        <f t="shared" si="7"/>
        <v>11260</v>
      </c>
      <c r="G135" s="170">
        <f t="shared" si="9"/>
        <v>6410</v>
      </c>
      <c r="H135" s="171" t="s">
        <v>291</v>
      </c>
      <c r="I135" s="201">
        <v>190.1</v>
      </c>
      <c r="J135" s="364">
        <f t="shared" si="11"/>
        <v>3.9604166666666663E-2</v>
      </c>
      <c r="K135" s="202">
        <f t="shared" si="14"/>
        <v>1084</v>
      </c>
      <c r="L135" s="203"/>
      <c r="M135" s="204"/>
      <c r="N135" s="452"/>
      <c r="O135" s="566"/>
      <c r="P135" s="567"/>
      <c r="Q135" s="12" t="str">
        <f t="shared" si="8"/>
        <v>입상_강관_고정구_일체형|입상_강관_고정구_일체형_50A|75A</v>
      </c>
      <c r="S135" s="104"/>
      <c r="T135" s="107"/>
      <c r="U135" s="107"/>
    </row>
    <row r="136" spans="1:21">
      <c r="A136" s="494">
        <f t="shared" si="10"/>
        <v>128</v>
      </c>
      <c r="B136" s="477" t="s">
        <v>240</v>
      </c>
      <c r="C136" s="50" t="s">
        <v>247</v>
      </c>
      <c r="D136" s="51" t="s">
        <v>47</v>
      </c>
      <c r="E136" s="169">
        <v>5630</v>
      </c>
      <c r="F136" s="170">
        <f t="shared" si="7"/>
        <v>11260</v>
      </c>
      <c r="G136" s="170">
        <f t="shared" si="9"/>
        <v>6410</v>
      </c>
      <c r="H136" s="171" t="s">
        <v>291</v>
      </c>
      <c r="I136" s="201">
        <v>190.1</v>
      </c>
      <c r="J136" s="364">
        <f t="shared" si="11"/>
        <v>3.9604166666666663E-2</v>
      </c>
      <c r="K136" s="202">
        <f t="shared" si="14"/>
        <v>1084</v>
      </c>
      <c r="L136" s="203"/>
      <c r="M136" s="204"/>
      <c r="N136" s="450"/>
      <c r="O136" s="586"/>
      <c r="P136" s="587"/>
      <c r="Q136" s="12" t="str">
        <f t="shared" si="8"/>
        <v>입상_강관_고정구_일체형|입상_강관_고정구_일체형_50A|100A</v>
      </c>
      <c r="S136" s="104"/>
      <c r="T136" s="107"/>
      <c r="U136" s="107"/>
    </row>
    <row r="137" spans="1:21">
      <c r="A137" s="494">
        <f t="shared" si="10"/>
        <v>129</v>
      </c>
      <c r="B137" s="477" t="s">
        <v>240</v>
      </c>
      <c r="C137" s="50" t="s">
        <v>247</v>
      </c>
      <c r="D137" s="51" t="s">
        <v>48</v>
      </c>
      <c r="E137" s="169">
        <v>7880</v>
      </c>
      <c r="F137" s="170">
        <f t="shared" ref="F137:F199" si="15">E137*$C$4</f>
        <v>15760</v>
      </c>
      <c r="G137" s="170">
        <f t="shared" si="9"/>
        <v>8980</v>
      </c>
      <c r="H137" s="171" t="s">
        <v>291</v>
      </c>
      <c r="I137" s="201">
        <v>190.1</v>
      </c>
      <c r="J137" s="364">
        <f t="shared" si="11"/>
        <v>3.9604166666666663E-2</v>
      </c>
      <c r="K137" s="202">
        <f t="shared" si="14"/>
        <v>1084</v>
      </c>
      <c r="L137" s="203"/>
      <c r="M137" s="204"/>
      <c r="N137" s="450"/>
      <c r="O137" s="586"/>
      <c r="P137" s="587"/>
      <c r="Q137" s="12" t="str">
        <f t="shared" ref="Q137:Q199" si="16">B137&amp;"|"&amp;C137&amp;"|"&amp;D137</f>
        <v>입상_강관_고정구_일체형|입상_강관_고정구_일체형_50A|125A</v>
      </c>
      <c r="S137" s="104"/>
      <c r="T137" s="107"/>
      <c r="U137" s="107"/>
    </row>
    <row r="138" spans="1:21">
      <c r="A138" s="494">
        <f t="shared" si="10"/>
        <v>130</v>
      </c>
      <c r="B138" s="477" t="s">
        <v>240</v>
      </c>
      <c r="C138" s="50" t="s">
        <v>248</v>
      </c>
      <c r="D138" s="51" t="s">
        <v>47</v>
      </c>
      <c r="E138" s="52">
        <v>7170</v>
      </c>
      <c r="F138" s="57">
        <f t="shared" si="15"/>
        <v>14340</v>
      </c>
      <c r="G138" s="170">
        <f t="shared" ref="G138:G200" si="17">FLOOR(F138*$H$4,10)</f>
        <v>8170</v>
      </c>
      <c r="H138" s="171" t="s">
        <v>103</v>
      </c>
      <c r="I138" s="201">
        <v>239.7</v>
      </c>
      <c r="J138" s="364">
        <f t="shared" si="11"/>
        <v>3.3291666666666664E-2</v>
      </c>
      <c r="K138" s="202">
        <f t="shared" si="14"/>
        <v>911</v>
      </c>
      <c r="L138" s="203"/>
      <c r="M138" s="204"/>
      <c r="N138" s="450"/>
      <c r="O138" s="586"/>
      <c r="P138" s="587"/>
      <c r="Q138" s="12" t="str">
        <f t="shared" si="16"/>
        <v>입상_강관_고정구_일체형|입상_강관_고정구_일체형_65A|100A</v>
      </c>
      <c r="S138" s="104"/>
      <c r="T138" s="107"/>
      <c r="U138" s="107"/>
    </row>
    <row r="139" spans="1:21">
      <c r="A139" s="494">
        <f t="shared" ref="A139:A201" si="18">A138+1</f>
        <v>131</v>
      </c>
      <c r="B139" s="477" t="s">
        <v>240</v>
      </c>
      <c r="C139" s="50" t="s">
        <v>248</v>
      </c>
      <c r="D139" s="51" t="s">
        <v>48</v>
      </c>
      <c r="E139" s="52">
        <v>7170</v>
      </c>
      <c r="F139" s="57">
        <f t="shared" si="15"/>
        <v>14340</v>
      </c>
      <c r="G139" s="170">
        <f t="shared" si="17"/>
        <v>8170</v>
      </c>
      <c r="H139" s="171" t="s">
        <v>103</v>
      </c>
      <c r="I139" s="201">
        <v>239.7</v>
      </c>
      <c r="J139" s="364">
        <f t="shared" si="11"/>
        <v>3.3291666666666664E-2</v>
      </c>
      <c r="K139" s="202">
        <f t="shared" si="14"/>
        <v>911</v>
      </c>
      <c r="L139" s="203"/>
      <c r="M139" s="204"/>
      <c r="N139" s="450"/>
      <c r="O139" s="586"/>
      <c r="P139" s="587"/>
      <c r="Q139" s="12" t="str">
        <f t="shared" si="16"/>
        <v>입상_강관_고정구_일체형|입상_강관_고정구_일체형_65A|125A</v>
      </c>
      <c r="S139" s="104"/>
      <c r="T139" s="107"/>
      <c r="U139" s="107"/>
    </row>
    <row r="140" spans="1:21">
      <c r="A140" s="494">
        <f t="shared" si="18"/>
        <v>132</v>
      </c>
      <c r="B140" s="477" t="s">
        <v>240</v>
      </c>
      <c r="C140" s="50" t="s">
        <v>249</v>
      </c>
      <c r="D140" s="51" t="s">
        <v>47</v>
      </c>
      <c r="E140" s="169">
        <v>7020</v>
      </c>
      <c r="F140" s="170">
        <f t="shared" si="15"/>
        <v>14040</v>
      </c>
      <c r="G140" s="170">
        <f t="shared" si="17"/>
        <v>8000</v>
      </c>
      <c r="H140" s="171" t="s">
        <v>103</v>
      </c>
      <c r="I140" s="201">
        <v>279.3</v>
      </c>
      <c r="J140" s="364">
        <f t="shared" si="11"/>
        <v>3.8791666666666669E-2</v>
      </c>
      <c r="K140" s="202">
        <f t="shared" si="14"/>
        <v>1062</v>
      </c>
      <c r="L140" s="203"/>
      <c r="M140" s="204"/>
      <c r="N140" s="450"/>
      <c r="O140" s="586"/>
      <c r="P140" s="587"/>
      <c r="Q140" s="12" t="str">
        <f t="shared" si="16"/>
        <v>입상_강관_고정구_일체형|입상_강관_고정구_일체형_80A|100A</v>
      </c>
      <c r="S140" s="104"/>
      <c r="T140" s="107"/>
      <c r="U140" s="107"/>
    </row>
    <row r="141" spans="1:21" ht="17.100000000000001" customHeight="1">
      <c r="A141" s="494">
        <f t="shared" si="18"/>
        <v>133</v>
      </c>
      <c r="B141" s="477" t="s">
        <v>240</v>
      </c>
      <c r="C141" s="50" t="s">
        <v>249</v>
      </c>
      <c r="D141" s="51" t="s">
        <v>48</v>
      </c>
      <c r="E141" s="169">
        <v>7020</v>
      </c>
      <c r="F141" s="170">
        <f t="shared" si="15"/>
        <v>14040</v>
      </c>
      <c r="G141" s="170">
        <f t="shared" si="17"/>
        <v>8000</v>
      </c>
      <c r="H141" s="171" t="s">
        <v>103</v>
      </c>
      <c r="I141" s="201">
        <v>279.3</v>
      </c>
      <c r="J141" s="364">
        <f t="shared" si="11"/>
        <v>3.8791666666666669E-2</v>
      </c>
      <c r="K141" s="202">
        <f t="shared" si="14"/>
        <v>1062</v>
      </c>
      <c r="L141" s="203"/>
      <c r="M141" s="204"/>
      <c r="N141" s="450"/>
      <c r="O141" s="586"/>
      <c r="P141" s="587"/>
      <c r="Q141" s="12" t="str">
        <f t="shared" si="16"/>
        <v>입상_강관_고정구_일체형|입상_강관_고정구_일체형_80A|125A</v>
      </c>
      <c r="S141" s="104"/>
      <c r="T141" s="107"/>
      <c r="U141" s="107"/>
    </row>
    <row r="142" spans="1:21">
      <c r="A142" s="494">
        <f t="shared" si="18"/>
        <v>134</v>
      </c>
      <c r="B142" s="477" t="s">
        <v>240</v>
      </c>
      <c r="C142" s="50" t="s">
        <v>250</v>
      </c>
      <c r="D142" s="51" t="s">
        <v>48</v>
      </c>
      <c r="E142" s="169">
        <v>8100</v>
      </c>
      <c r="F142" s="170">
        <f t="shared" si="15"/>
        <v>16200</v>
      </c>
      <c r="G142" s="170">
        <f t="shared" si="17"/>
        <v>9230</v>
      </c>
      <c r="H142" s="171" t="s">
        <v>103</v>
      </c>
      <c r="I142" s="201">
        <v>359.1</v>
      </c>
      <c r="J142" s="364">
        <f t="shared" si="11"/>
        <v>4.9875000000000003E-2</v>
      </c>
      <c r="K142" s="202">
        <f t="shared" si="14"/>
        <v>1366</v>
      </c>
      <c r="L142" s="203"/>
      <c r="M142" s="204"/>
      <c r="N142" s="450"/>
      <c r="O142" s="586"/>
      <c r="P142" s="587"/>
      <c r="Q142" s="12" t="str">
        <f t="shared" si="16"/>
        <v>입상_강관_고정구_일체형|입상_강관_고정구_일체형_100A|125A</v>
      </c>
      <c r="S142" s="104"/>
      <c r="T142" s="107"/>
      <c r="U142" s="107"/>
    </row>
    <row r="143" spans="1:21" ht="17.100000000000001" customHeight="1" thickBot="1">
      <c r="A143" s="497">
        <f t="shared" si="18"/>
        <v>135</v>
      </c>
      <c r="B143" s="479" t="s">
        <v>240</v>
      </c>
      <c r="C143" s="205" t="s">
        <v>250</v>
      </c>
      <c r="D143" s="206" t="s">
        <v>49</v>
      </c>
      <c r="E143" s="207">
        <v>8100</v>
      </c>
      <c r="F143" s="170">
        <f t="shared" si="15"/>
        <v>16200</v>
      </c>
      <c r="G143" s="170">
        <f t="shared" si="17"/>
        <v>9230</v>
      </c>
      <c r="H143" s="171" t="s">
        <v>103</v>
      </c>
      <c r="I143" s="201">
        <v>359.1</v>
      </c>
      <c r="J143" s="364">
        <f t="shared" si="11"/>
        <v>4.9875000000000003E-2</v>
      </c>
      <c r="K143" s="202">
        <f t="shared" si="14"/>
        <v>1366</v>
      </c>
      <c r="L143" s="203"/>
      <c r="M143" s="204"/>
      <c r="N143" s="450"/>
      <c r="O143" s="586"/>
      <c r="P143" s="587"/>
      <c r="Q143" s="12" t="str">
        <f t="shared" si="16"/>
        <v>입상_강관_고정구_일체형|입상_강관_고정구_일체형_100A|150A</v>
      </c>
      <c r="S143" s="104"/>
      <c r="T143" s="107"/>
      <c r="U143" s="107"/>
    </row>
    <row r="144" spans="1:21">
      <c r="A144" s="498">
        <f t="shared" si="18"/>
        <v>136</v>
      </c>
      <c r="B144" s="480" t="s">
        <v>62</v>
      </c>
      <c r="C144" s="94" t="s">
        <v>257</v>
      </c>
      <c r="D144" s="95" t="s">
        <v>46</v>
      </c>
      <c r="E144" s="208">
        <v>1560</v>
      </c>
      <c r="F144" s="208">
        <f t="shared" si="15"/>
        <v>3120</v>
      </c>
      <c r="G144" s="208">
        <f t="shared" si="17"/>
        <v>1770</v>
      </c>
      <c r="H144" s="96"/>
      <c r="I144" s="136"/>
      <c r="J144" s="366"/>
      <c r="K144" s="136"/>
      <c r="L144" s="137"/>
      <c r="M144" s="138"/>
      <c r="N144" s="453"/>
      <c r="O144" s="584"/>
      <c r="P144" s="585"/>
      <c r="Q144" s="12" t="str">
        <f t="shared" si="16"/>
        <v>입상_PVC_고정틀|입상_PVC_고정틀_50A|75A</v>
      </c>
      <c r="T144" s="107"/>
    </row>
    <row r="145" spans="1:21" ht="17.100000000000001" customHeight="1">
      <c r="A145" s="494">
        <f t="shared" si="18"/>
        <v>137</v>
      </c>
      <c r="B145" s="473" t="s">
        <v>61</v>
      </c>
      <c r="C145" s="97" t="s">
        <v>252</v>
      </c>
      <c r="D145" s="98" t="s">
        <v>47</v>
      </c>
      <c r="E145" s="135">
        <v>1560</v>
      </c>
      <c r="F145" s="135">
        <f t="shared" si="15"/>
        <v>3120</v>
      </c>
      <c r="G145" s="135">
        <f t="shared" si="17"/>
        <v>1770</v>
      </c>
      <c r="H145" s="209"/>
      <c r="I145" s="139"/>
      <c r="J145" s="367"/>
      <c r="K145" s="139"/>
      <c r="L145" s="140"/>
      <c r="M145" s="141"/>
      <c r="N145" s="454"/>
      <c r="O145" s="572"/>
      <c r="P145" s="573"/>
      <c r="Q145" s="12" t="str">
        <f t="shared" si="16"/>
        <v>입상_PVC_고정틀|입상_PVC_고정틀_50A|100A</v>
      </c>
      <c r="T145" s="107"/>
    </row>
    <row r="146" spans="1:21" ht="17.100000000000001" customHeight="1">
      <c r="A146" s="494">
        <f t="shared" si="18"/>
        <v>138</v>
      </c>
      <c r="B146" s="473" t="s">
        <v>122</v>
      </c>
      <c r="C146" s="97" t="s">
        <v>253</v>
      </c>
      <c r="D146" s="98" t="s">
        <v>47</v>
      </c>
      <c r="E146" s="135">
        <v>1760</v>
      </c>
      <c r="F146" s="135">
        <f t="shared" si="15"/>
        <v>3520</v>
      </c>
      <c r="G146" s="135">
        <f t="shared" si="17"/>
        <v>2000</v>
      </c>
      <c r="H146" s="209"/>
      <c r="I146" s="139"/>
      <c r="J146" s="367"/>
      <c r="K146" s="139"/>
      <c r="L146" s="140"/>
      <c r="M146" s="141"/>
      <c r="N146" s="454"/>
      <c r="O146" s="572"/>
      <c r="P146" s="573"/>
      <c r="Q146" s="12" t="str">
        <f t="shared" si="16"/>
        <v>입상_PVC_고정틀|입상_PVC_고정틀_75A|100A</v>
      </c>
      <c r="T146" s="107"/>
    </row>
    <row r="147" spans="1:21">
      <c r="A147" s="494">
        <f t="shared" si="18"/>
        <v>139</v>
      </c>
      <c r="B147" s="473" t="s">
        <v>61</v>
      </c>
      <c r="C147" s="97" t="s">
        <v>253</v>
      </c>
      <c r="D147" s="98" t="s">
        <v>48</v>
      </c>
      <c r="E147" s="135">
        <v>1760</v>
      </c>
      <c r="F147" s="135">
        <f t="shared" si="15"/>
        <v>3520</v>
      </c>
      <c r="G147" s="135">
        <f t="shared" si="17"/>
        <v>2000</v>
      </c>
      <c r="H147" s="209"/>
      <c r="I147" s="139"/>
      <c r="J147" s="367"/>
      <c r="K147" s="139"/>
      <c r="L147" s="140"/>
      <c r="M147" s="141"/>
      <c r="N147" s="454"/>
      <c r="O147" s="572"/>
      <c r="P147" s="573"/>
      <c r="Q147" s="12" t="str">
        <f t="shared" si="16"/>
        <v>입상_PVC_고정틀|입상_PVC_고정틀_75A|125A</v>
      </c>
      <c r="T147" s="107"/>
    </row>
    <row r="148" spans="1:21">
      <c r="A148" s="494">
        <f t="shared" si="18"/>
        <v>140</v>
      </c>
      <c r="B148" s="473" t="s">
        <v>61</v>
      </c>
      <c r="C148" s="97" t="s">
        <v>254</v>
      </c>
      <c r="D148" s="98" t="s">
        <v>48</v>
      </c>
      <c r="E148" s="135">
        <v>1950</v>
      </c>
      <c r="F148" s="135">
        <f t="shared" si="15"/>
        <v>3900</v>
      </c>
      <c r="G148" s="135">
        <f t="shared" si="17"/>
        <v>2220</v>
      </c>
      <c r="H148" s="209"/>
      <c r="I148" s="139"/>
      <c r="J148" s="367"/>
      <c r="K148" s="139"/>
      <c r="L148" s="140"/>
      <c r="M148" s="141"/>
      <c r="N148" s="454"/>
      <c r="O148" s="572"/>
      <c r="P148" s="573"/>
      <c r="Q148" s="12" t="str">
        <f t="shared" si="16"/>
        <v>입상_PVC_고정틀|입상_PVC_고정틀_100A|125A</v>
      </c>
      <c r="T148" s="107"/>
    </row>
    <row r="149" spans="1:21">
      <c r="A149" s="494">
        <f t="shared" si="18"/>
        <v>141</v>
      </c>
      <c r="B149" s="473" t="s">
        <v>61</v>
      </c>
      <c r="C149" s="97" t="s">
        <v>254</v>
      </c>
      <c r="D149" s="98" t="s">
        <v>49</v>
      </c>
      <c r="E149" s="135">
        <v>1950</v>
      </c>
      <c r="F149" s="135">
        <f t="shared" si="15"/>
        <v>3900</v>
      </c>
      <c r="G149" s="135">
        <f t="shared" si="17"/>
        <v>2220</v>
      </c>
      <c r="H149" s="209"/>
      <c r="I149" s="139"/>
      <c r="J149" s="367"/>
      <c r="K149" s="139"/>
      <c r="L149" s="140"/>
      <c r="M149" s="141"/>
      <c r="N149" s="454"/>
      <c r="O149" s="572"/>
      <c r="P149" s="573"/>
      <c r="Q149" s="12" t="str">
        <f t="shared" si="16"/>
        <v>입상_PVC_고정틀|입상_PVC_고정틀_100A|150A</v>
      </c>
      <c r="T149" s="107"/>
    </row>
    <row r="150" spans="1:21">
      <c r="A150" s="494">
        <f t="shared" si="18"/>
        <v>142</v>
      </c>
      <c r="B150" s="473" t="s">
        <v>61</v>
      </c>
      <c r="C150" s="97" t="s">
        <v>254</v>
      </c>
      <c r="D150" s="98" t="s">
        <v>50</v>
      </c>
      <c r="E150" s="135">
        <v>4550</v>
      </c>
      <c r="F150" s="135">
        <f t="shared" si="15"/>
        <v>9100</v>
      </c>
      <c r="G150" s="135">
        <f t="shared" si="17"/>
        <v>5180</v>
      </c>
      <c r="H150" s="209"/>
      <c r="I150" s="139"/>
      <c r="J150" s="367"/>
      <c r="K150" s="139"/>
      <c r="L150" s="140"/>
      <c r="M150" s="141"/>
      <c r="N150" s="454"/>
      <c r="O150" s="572"/>
      <c r="P150" s="573"/>
      <c r="Q150" s="12" t="str">
        <f t="shared" si="16"/>
        <v>입상_PVC_고정틀|입상_PVC_고정틀_100A|200A</v>
      </c>
      <c r="T150" s="107"/>
    </row>
    <row r="151" spans="1:21">
      <c r="A151" s="494">
        <f t="shared" si="18"/>
        <v>143</v>
      </c>
      <c r="B151" s="473" t="s">
        <v>61</v>
      </c>
      <c r="C151" s="97" t="s">
        <v>255</v>
      </c>
      <c r="D151" s="98" t="s">
        <v>50</v>
      </c>
      <c r="E151" s="135">
        <v>4550</v>
      </c>
      <c r="F151" s="135">
        <f t="shared" si="15"/>
        <v>9100</v>
      </c>
      <c r="G151" s="135">
        <f t="shared" si="17"/>
        <v>5180</v>
      </c>
      <c r="H151" s="209"/>
      <c r="I151" s="139"/>
      <c r="J151" s="367"/>
      <c r="K151" s="139"/>
      <c r="L151" s="140"/>
      <c r="M151" s="141"/>
      <c r="N151" s="454"/>
      <c r="O151" s="572"/>
      <c r="P151" s="573"/>
      <c r="Q151" s="12" t="str">
        <f t="shared" si="16"/>
        <v>입상_PVC_고정틀|입상_PVC_고정틀_125A|200A</v>
      </c>
      <c r="T151" s="107"/>
    </row>
    <row r="152" spans="1:21" ht="17.100000000000001" customHeight="1">
      <c r="A152" s="494">
        <f t="shared" si="18"/>
        <v>144</v>
      </c>
      <c r="B152" s="473" t="s">
        <v>61</v>
      </c>
      <c r="C152" s="97" t="s">
        <v>256</v>
      </c>
      <c r="D152" s="98" t="s">
        <v>50</v>
      </c>
      <c r="E152" s="135">
        <v>4550</v>
      </c>
      <c r="F152" s="135">
        <f t="shared" si="15"/>
        <v>9100</v>
      </c>
      <c r="G152" s="135">
        <f t="shared" si="17"/>
        <v>5180</v>
      </c>
      <c r="H152" s="209"/>
      <c r="I152" s="139"/>
      <c r="J152" s="367"/>
      <c r="K152" s="139"/>
      <c r="L152" s="140"/>
      <c r="M152" s="141"/>
      <c r="N152" s="454"/>
      <c r="O152" s="572"/>
      <c r="P152" s="573"/>
      <c r="Q152" s="12" t="str">
        <f t="shared" si="16"/>
        <v>입상_PVC_고정틀|입상_PVC_고정틀_150A|200A</v>
      </c>
      <c r="T152" s="107"/>
    </row>
    <row r="153" spans="1:21">
      <c r="A153" s="494">
        <f t="shared" si="18"/>
        <v>145</v>
      </c>
      <c r="B153" s="474" t="s">
        <v>64</v>
      </c>
      <c r="C153" s="210" t="s">
        <v>264</v>
      </c>
      <c r="D153" s="176" t="s">
        <v>46</v>
      </c>
      <c r="E153" s="177">
        <v>6790</v>
      </c>
      <c r="F153" s="177">
        <f t="shared" si="15"/>
        <v>13580</v>
      </c>
      <c r="G153" s="177">
        <f t="shared" si="17"/>
        <v>7740</v>
      </c>
      <c r="H153" s="211"/>
      <c r="I153" s="114"/>
      <c r="J153" s="368"/>
      <c r="K153" s="114"/>
      <c r="L153" s="212" cm="1">
        <f t="array" ref="L153">TRUNC(
  IF($O153&lt;&gt;0,
    _xlfn.LET(
      _xlpm.size, VALUE(SUBSTITUTE(MID($C153, FIND("_",$C153, LEN($C153)-5)+1, LEN($C153)), "A","")),
      _xlpm.base_val, _xlfn.IFS(_xlpm.size&lt;=50, 1/6, _xlpm.size&lt;=100, 1/4, _xlpm.size&lt;=150, 1/3, _xlpm.size&lt;=200, 1/2, TRUE, 0),
      IF(ISNUMBER(SEARCH("벽체", $C153)), _xlpm.base_val * 2, _xlpm.base_val)
    ),
  0),
2)</f>
        <v>0.16</v>
      </c>
      <c r="M153" s="213">
        <f t="shared" ref="M153:M161" si="19">FLOOR($L153 * $G$262,1)</f>
        <v>691</v>
      </c>
      <c r="N153" s="452" t="s">
        <v>441</v>
      </c>
      <c r="O153" s="570" t="s">
        <v>142</v>
      </c>
      <c r="P153" s="571"/>
      <c r="Q153" s="12" t="str">
        <f t="shared" si="16"/>
        <v>입상_PVC_충진재|입상_PVC_충진재_50A|75A</v>
      </c>
      <c r="S153" s="104"/>
      <c r="T153" s="107"/>
      <c r="U153" s="107"/>
    </row>
    <row r="154" spans="1:21">
      <c r="A154" s="494">
        <f t="shared" si="18"/>
        <v>146</v>
      </c>
      <c r="B154" s="474" t="s">
        <v>63</v>
      </c>
      <c r="C154" s="210" t="s">
        <v>258</v>
      </c>
      <c r="D154" s="176" t="s">
        <v>47</v>
      </c>
      <c r="E154" s="177">
        <v>7110</v>
      </c>
      <c r="F154" s="177">
        <f t="shared" si="15"/>
        <v>14220</v>
      </c>
      <c r="G154" s="177">
        <f t="shared" si="17"/>
        <v>8100</v>
      </c>
      <c r="H154" s="211"/>
      <c r="I154" s="114"/>
      <c r="J154" s="368"/>
      <c r="K154" s="114"/>
      <c r="L154" s="212" cm="1">
        <f t="array" ref="L154">TRUNC(
  IF($O154&lt;&gt;0,
    _xlfn.LET(
      _xlpm.size, VALUE(SUBSTITUTE(MID($C154, FIND("_",$C154, LEN($C154)-5)+1, LEN($C154)), "A","")),
      _xlpm.base_val, _xlfn.IFS(_xlpm.size&lt;=50, 1/6, _xlpm.size&lt;=100, 1/4, _xlpm.size&lt;=150, 1/3, _xlpm.size&lt;=200, 1/2, TRUE, 0),
      IF(ISNUMBER(SEARCH("벽체", $C154)), _xlpm.base_val * 2, _xlpm.base_val)
    ),
  0),
2)</f>
        <v>0.16</v>
      </c>
      <c r="M154" s="213">
        <f t="shared" si="19"/>
        <v>691</v>
      </c>
      <c r="N154" s="452" t="s">
        <v>441</v>
      </c>
      <c r="O154" s="570" t="s">
        <v>142</v>
      </c>
      <c r="P154" s="571"/>
      <c r="Q154" s="12" t="str">
        <f t="shared" si="16"/>
        <v>입상_PVC_충진재|입상_PVC_충진재_50A|100A</v>
      </c>
      <c r="S154" s="104"/>
      <c r="T154" s="107"/>
      <c r="U154" s="107"/>
    </row>
    <row r="155" spans="1:21">
      <c r="A155" s="494">
        <f t="shared" si="18"/>
        <v>147</v>
      </c>
      <c r="B155" s="474" t="s">
        <v>63</v>
      </c>
      <c r="C155" s="210" t="s">
        <v>259</v>
      </c>
      <c r="D155" s="176" t="s">
        <v>47</v>
      </c>
      <c r="E155" s="177">
        <v>7750</v>
      </c>
      <c r="F155" s="177">
        <f t="shared" si="15"/>
        <v>15500</v>
      </c>
      <c r="G155" s="177">
        <f t="shared" si="17"/>
        <v>8830</v>
      </c>
      <c r="H155" s="211"/>
      <c r="I155" s="114"/>
      <c r="J155" s="368"/>
      <c r="K155" s="114"/>
      <c r="L155" s="212" cm="1">
        <f t="array" ref="L155">TRUNC(
  IF($O155&lt;&gt;0,
    _xlfn.LET(
      _xlpm.size, VALUE(SUBSTITUTE(MID($C155, FIND("_",$C155, LEN($C155)-5)+1, LEN($C155)), "A","")),
      _xlpm.base_val, _xlfn.IFS(_xlpm.size&lt;=50, 1/6, _xlpm.size&lt;=100, 1/4, _xlpm.size&lt;=150, 1/3, _xlpm.size&lt;=200, 1/2, TRUE, 0),
      IF(ISNUMBER(SEARCH("벽체", $C155)), _xlpm.base_val * 2, _xlpm.base_val)
    ),
  0),
2)</f>
        <v>0.25</v>
      </c>
      <c r="M155" s="213">
        <f t="shared" si="19"/>
        <v>1080</v>
      </c>
      <c r="N155" s="452" t="s">
        <v>441</v>
      </c>
      <c r="O155" s="570" t="s">
        <v>142</v>
      </c>
      <c r="P155" s="571"/>
      <c r="Q155" s="12" t="str">
        <f t="shared" si="16"/>
        <v>입상_PVC_충진재|입상_PVC_충진재_65A|100A</v>
      </c>
      <c r="S155" s="104"/>
      <c r="T155" s="107"/>
      <c r="U155" s="107"/>
    </row>
    <row r="156" spans="1:21">
      <c r="A156" s="494">
        <f t="shared" si="18"/>
        <v>148</v>
      </c>
      <c r="B156" s="474" t="s">
        <v>123</v>
      </c>
      <c r="C156" s="210" t="s">
        <v>260</v>
      </c>
      <c r="D156" s="176" t="s">
        <v>47</v>
      </c>
      <c r="E156" s="177">
        <v>8290</v>
      </c>
      <c r="F156" s="177">
        <f t="shared" si="15"/>
        <v>16580</v>
      </c>
      <c r="G156" s="177">
        <f t="shared" si="17"/>
        <v>9450</v>
      </c>
      <c r="H156" s="211"/>
      <c r="I156" s="114"/>
      <c r="J156" s="368"/>
      <c r="K156" s="114"/>
      <c r="L156" s="212" cm="1">
        <f t="array" ref="L156">TRUNC(
  IF($O156&lt;&gt;0,
    _xlfn.LET(
      _xlpm.size, VALUE(SUBSTITUTE(MID($C156, FIND("_",$C156, LEN($C156)-5)+1, LEN($C156)), "A","")),
      _xlpm.base_val, _xlfn.IFS(_xlpm.size&lt;=50, 1/6, _xlpm.size&lt;=100, 1/4, _xlpm.size&lt;=150, 1/3, _xlpm.size&lt;=200, 1/2, TRUE, 0),
      IF(ISNUMBER(SEARCH("벽체", $C156)), _xlpm.base_val * 2, _xlpm.base_val)
    ),
  0),
2)</f>
        <v>0.25</v>
      </c>
      <c r="M156" s="213">
        <f t="shared" si="19"/>
        <v>1080</v>
      </c>
      <c r="N156" s="452" t="s">
        <v>441</v>
      </c>
      <c r="O156" s="570" t="s">
        <v>142</v>
      </c>
      <c r="P156" s="571"/>
      <c r="Q156" s="12" t="str">
        <f t="shared" si="16"/>
        <v>입상_PVC_충진재|입상_PVC_충진재_75A|100A</v>
      </c>
      <c r="S156" s="104"/>
      <c r="T156" s="107"/>
      <c r="U156" s="107"/>
    </row>
    <row r="157" spans="1:21">
      <c r="A157" s="494">
        <f t="shared" si="18"/>
        <v>149</v>
      </c>
      <c r="B157" s="474" t="s">
        <v>63</v>
      </c>
      <c r="C157" s="210" t="s">
        <v>260</v>
      </c>
      <c r="D157" s="176" t="s">
        <v>48</v>
      </c>
      <c r="E157" s="177">
        <v>9010</v>
      </c>
      <c r="F157" s="177">
        <f t="shared" si="15"/>
        <v>18020</v>
      </c>
      <c r="G157" s="177">
        <f t="shared" si="17"/>
        <v>10270</v>
      </c>
      <c r="H157" s="211"/>
      <c r="I157" s="114"/>
      <c r="J157" s="368"/>
      <c r="K157" s="114"/>
      <c r="L157" s="212" cm="1">
        <f t="array" ref="L157">TRUNC(
  IF($O157&lt;&gt;0,
    _xlfn.LET(
      _xlpm.size, VALUE(SUBSTITUTE(MID($C157, FIND("_",$C157, LEN($C157)-5)+1, LEN($C157)), "A","")),
      _xlpm.base_val, _xlfn.IFS(_xlpm.size&lt;=50, 1/6, _xlpm.size&lt;=100, 1/4, _xlpm.size&lt;=150, 1/3, _xlpm.size&lt;=200, 1/2, TRUE, 0),
      IF(ISNUMBER(SEARCH("벽체", $C157)), _xlpm.base_val * 2, _xlpm.base_val)
    ),
  0),
2)</f>
        <v>0.25</v>
      </c>
      <c r="M157" s="213">
        <f t="shared" si="19"/>
        <v>1080</v>
      </c>
      <c r="N157" s="452" t="s">
        <v>441</v>
      </c>
      <c r="O157" s="570" t="s">
        <v>142</v>
      </c>
      <c r="P157" s="571"/>
      <c r="Q157" s="12" t="str">
        <f t="shared" si="16"/>
        <v>입상_PVC_충진재|입상_PVC_충진재_75A|125A</v>
      </c>
      <c r="S157" s="104"/>
      <c r="T157" s="107"/>
      <c r="U157" s="107"/>
    </row>
    <row r="158" spans="1:21">
      <c r="A158" s="494">
        <f t="shared" si="18"/>
        <v>150</v>
      </c>
      <c r="B158" s="474" t="s">
        <v>63</v>
      </c>
      <c r="C158" s="210" t="s">
        <v>265</v>
      </c>
      <c r="D158" s="176" t="s">
        <v>48</v>
      </c>
      <c r="E158" s="177">
        <v>9980</v>
      </c>
      <c r="F158" s="177">
        <f t="shared" si="15"/>
        <v>19960</v>
      </c>
      <c r="G158" s="177">
        <f t="shared" si="17"/>
        <v>11370</v>
      </c>
      <c r="H158" s="211"/>
      <c r="I158" s="114"/>
      <c r="J158" s="368"/>
      <c r="K158" s="114"/>
      <c r="L158" s="212" cm="1">
        <f t="array" ref="L158">TRUNC(
  IF($O158&lt;&gt;0,
    _xlfn.LET(
      _xlpm.size, VALUE(SUBSTITUTE(MID($C158, FIND("_",$C158, LEN($C158)-5)+1, LEN($C158)), "A","")),
      _xlpm.base_val, _xlfn.IFS(_xlpm.size&lt;=50, 1/6, _xlpm.size&lt;=100, 1/4, _xlpm.size&lt;=150, 1/3, _xlpm.size&lt;=200, 1/2, TRUE, 0),
      IF(ISNUMBER(SEARCH("벽체", $C158)), _xlpm.base_val * 2, _xlpm.base_val)
    ),
  0),
2)</f>
        <v>0.25</v>
      </c>
      <c r="M158" s="213">
        <f t="shared" si="19"/>
        <v>1080</v>
      </c>
      <c r="N158" s="452" t="s">
        <v>441</v>
      </c>
      <c r="O158" s="570" t="s">
        <v>142</v>
      </c>
      <c r="P158" s="571"/>
      <c r="Q158" s="12" t="str">
        <f t="shared" si="16"/>
        <v>입상_PVC_충진재|입상_PVC_충진재_100A|125A</v>
      </c>
      <c r="S158" s="104"/>
      <c r="T158" s="107"/>
      <c r="U158" s="107"/>
    </row>
    <row r="159" spans="1:21">
      <c r="A159" s="494">
        <f t="shared" si="18"/>
        <v>151</v>
      </c>
      <c r="B159" s="474" t="s">
        <v>63</v>
      </c>
      <c r="C159" s="210" t="s">
        <v>261</v>
      </c>
      <c r="D159" s="176" t="s">
        <v>49</v>
      </c>
      <c r="E159" s="177">
        <v>10580</v>
      </c>
      <c r="F159" s="177">
        <f t="shared" si="15"/>
        <v>21160</v>
      </c>
      <c r="G159" s="177">
        <f t="shared" si="17"/>
        <v>12060</v>
      </c>
      <c r="H159" s="211"/>
      <c r="I159" s="114"/>
      <c r="J159" s="368"/>
      <c r="K159" s="114"/>
      <c r="L159" s="212" cm="1">
        <f t="array" ref="L159">TRUNC(
  IF($O159&lt;&gt;0,
    _xlfn.LET(
      _xlpm.size, VALUE(SUBSTITUTE(MID($C159, FIND("_",$C159, LEN($C159)-5)+1, LEN($C159)), "A","")),
      _xlpm.base_val, _xlfn.IFS(_xlpm.size&lt;=50, 1/6, _xlpm.size&lt;=100, 1/4, _xlpm.size&lt;=150, 1/3, _xlpm.size&lt;=200, 1/2, TRUE, 0),
      IF(ISNUMBER(SEARCH("벽체", $C159)), _xlpm.base_val * 2, _xlpm.base_val)
    ),
  0),
2)</f>
        <v>0.25</v>
      </c>
      <c r="M159" s="213">
        <f t="shared" si="19"/>
        <v>1080</v>
      </c>
      <c r="N159" s="452" t="s">
        <v>441</v>
      </c>
      <c r="O159" s="570" t="s">
        <v>142</v>
      </c>
      <c r="P159" s="571"/>
      <c r="Q159" s="12" t="str">
        <f t="shared" si="16"/>
        <v>입상_PVC_충진재|입상_PVC_충진재_100A|150A</v>
      </c>
      <c r="S159" s="104"/>
      <c r="T159" s="107"/>
      <c r="U159" s="107"/>
    </row>
    <row r="160" spans="1:21">
      <c r="A160" s="494">
        <f t="shared" si="18"/>
        <v>152</v>
      </c>
      <c r="B160" s="474" t="s">
        <v>63</v>
      </c>
      <c r="C160" s="210" t="s">
        <v>262</v>
      </c>
      <c r="D160" s="176" t="s">
        <v>49</v>
      </c>
      <c r="E160" s="177">
        <v>11470</v>
      </c>
      <c r="F160" s="177">
        <f t="shared" si="15"/>
        <v>22940</v>
      </c>
      <c r="G160" s="177">
        <f t="shared" si="17"/>
        <v>13070</v>
      </c>
      <c r="H160" s="211"/>
      <c r="I160" s="114"/>
      <c r="J160" s="368"/>
      <c r="K160" s="114"/>
      <c r="L160" s="212" cm="1">
        <f t="array" ref="L160">TRUNC(
  IF($O160&lt;&gt;0,
    _xlfn.LET(
      _xlpm.size, VALUE(SUBSTITUTE(MID($C160, FIND("_",$C160, LEN($C160)-5)+1, LEN($C160)), "A","")),
      _xlpm.base_val, _xlfn.IFS(_xlpm.size&lt;=50, 1/6, _xlpm.size&lt;=100, 1/4, _xlpm.size&lt;=150, 1/3, _xlpm.size&lt;=200, 1/2, TRUE, 0),
      IF(ISNUMBER(SEARCH("벽체", $C160)), _xlpm.base_val * 2, _xlpm.base_val)
    ),
  0),
2)</f>
        <v>0.33</v>
      </c>
      <c r="M160" s="213">
        <f t="shared" si="19"/>
        <v>1425</v>
      </c>
      <c r="N160" s="452" t="s">
        <v>441</v>
      </c>
      <c r="O160" s="570" t="s">
        <v>142</v>
      </c>
      <c r="P160" s="571"/>
      <c r="Q160" s="12" t="str">
        <f t="shared" si="16"/>
        <v>입상_PVC_충진재|입상_PVC_충진재_125A|150A</v>
      </c>
      <c r="S160" s="104"/>
      <c r="T160" s="107"/>
      <c r="U160" s="107"/>
    </row>
    <row r="161" spans="1:21">
      <c r="A161" s="494">
        <f t="shared" si="18"/>
        <v>153</v>
      </c>
      <c r="B161" s="474" t="s">
        <v>63</v>
      </c>
      <c r="C161" s="210" t="s">
        <v>263</v>
      </c>
      <c r="D161" s="176" t="s">
        <v>50</v>
      </c>
      <c r="E161" s="177">
        <v>13990</v>
      </c>
      <c r="F161" s="177">
        <f t="shared" si="15"/>
        <v>27980</v>
      </c>
      <c r="G161" s="177">
        <f t="shared" si="17"/>
        <v>15940</v>
      </c>
      <c r="H161" s="211"/>
      <c r="I161" s="114"/>
      <c r="J161" s="368"/>
      <c r="K161" s="114"/>
      <c r="L161" s="212" cm="1">
        <f t="array" ref="L161">TRUNC(
  IF($O161&lt;&gt;0,
    _xlfn.LET(
      _xlpm.size, VALUE(SUBSTITUTE(MID($C161, FIND("_",$C161, LEN($C161)-5)+1, LEN($C161)), "A","")),
      _xlpm.base_val, _xlfn.IFS(_xlpm.size&lt;=50, 1/6, _xlpm.size&lt;=100, 1/4, _xlpm.size&lt;=150, 1/3, _xlpm.size&lt;=200, 1/2, TRUE, 0),
      IF(ISNUMBER(SEARCH("벽체", $C161)), _xlpm.base_val * 2, _xlpm.base_val)
    ),
  0),
2)</f>
        <v>0.33</v>
      </c>
      <c r="M161" s="213">
        <f t="shared" si="19"/>
        <v>1425</v>
      </c>
      <c r="N161" s="452" t="s">
        <v>441</v>
      </c>
      <c r="O161" s="570" t="s">
        <v>142</v>
      </c>
      <c r="P161" s="571"/>
      <c r="Q161" s="12" t="str">
        <f t="shared" si="16"/>
        <v>입상_PVC_충진재|입상_PVC_충진재_150A|200A</v>
      </c>
      <c r="S161" s="104"/>
      <c r="T161" s="107"/>
      <c r="U161" s="107"/>
    </row>
    <row r="162" spans="1:21" ht="17.100000000000001" customHeight="1">
      <c r="A162" s="494">
        <f t="shared" si="18"/>
        <v>154</v>
      </c>
      <c r="B162" s="473" t="s">
        <v>267</v>
      </c>
      <c r="C162" s="97" t="s">
        <v>275</v>
      </c>
      <c r="D162" s="98" t="s">
        <v>46</v>
      </c>
      <c r="E162" s="214">
        <v>5030</v>
      </c>
      <c r="F162" s="214">
        <f t="shared" si="15"/>
        <v>10060</v>
      </c>
      <c r="G162" s="135">
        <f t="shared" si="17"/>
        <v>5730</v>
      </c>
      <c r="H162" s="209"/>
      <c r="I162" s="139"/>
      <c r="J162" s="367"/>
      <c r="K162" s="139"/>
      <c r="L162" s="140"/>
      <c r="M162" s="141"/>
      <c r="N162" s="454"/>
      <c r="O162" s="572"/>
      <c r="P162" s="573"/>
      <c r="Q162" s="12" t="str">
        <f t="shared" si="16"/>
        <v>입상_PVC_고정구_일체형|입상_PVC_고정구_일체형_50A|75A</v>
      </c>
      <c r="T162" s="107"/>
    </row>
    <row r="163" spans="1:21">
      <c r="A163" s="494">
        <f t="shared" si="18"/>
        <v>155</v>
      </c>
      <c r="B163" s="473" t="s">
        <v>266</v>
      </c>
      <c r="C163" s="97" t="s">
        <v>276</v>
      </c>
      <c r="D163" s="98" t="s">
        <v>47</v>
      </c>
      <c r="E163" s="214">
        <v>6340</v>
      </c>
      <c r="F163" s="214">
        <f t="shared" si="15"/>
        <v>12680</v>
      </c>
      <c r="G163" s="135">
        <f t="shared" si="17"/>
        <v>7220</v>
      </c>
      <c r="H163" s="209"/>
      <c r="I163" s="139"/>
      <c r="J163" s="367"/>
      <c r="K163" s="139"/>
      <c r="L163" s="140"/>
      <c r="M163" s="141"/>
      <c r="N163" s="454"/>
      <c r="O163" s="572"/>
      <c r="P163" s="573"/>
      <c r="Q163" s="12" t="str">
        <f t="shared" si="16"/>
        <v>입상_PVC_고정구_일체형|입상_PVC_고정구_일체형_75A|100A</v>
      </c>
      <c r="T163" s="107"/>
    </row>
    <row r="164" spans="1:21" ht="16.899999999999999" customHeight="1" thickBot="1">
      <c r="A164" s="495">
        <f t="shared" si="18"/>
        <v>156</v>
      </c>
      <c r="B164" s="475" t="s">
        <v>266</v>
      </c>
      <c r="C164" s="100" t="s">
        <v>277</v>
      </c>
      <c r="D164" s="101" t="s">
        <v>48</v>
      </c>
      <c r="E164" s="215">
        <v>7440</v>
      </c>
      <c r="F164" s="215">
        <f t="shared" si="15"/>
        <v>14880</v>
      </c>
      <c r="G164" s="216">
        <f t="shared" si="17"/>
        <v>8480</v>
      </c>
      <c r="H164" s="217"/>
      <c r="I164" s="143"/>
      <c r="J164" s="369"/>
      <c r="K164" s="143"/>
      <c r="L164" s="144"/>
      <c r="M164" s="145"/>
      <c r="N164" s="455"/>
      <c r="O164" s="574"/>
      <c r="P164" s="575"/>
      <c r="Q164" s="12" t="str">
        <f t="shared" si="16"/>
        <v>입상_PVC_고정구_일체형|입상_PVC_고정구_일체형_100A|125A</v>
      </c>
    </row>
    <row r="165" spans="1:21" ht="16.899999999999999" customHeight="1">
      <c r="A165" s="498">
        <f t="shared" si="18"/>
        <v>157</v>
      </c>
      <c r="B165" s="476" t="s">
        <v>186</v>
      </c>
      <c r="C165" s="218" t="s">
        <v>144</v>
      </c>
      <c r="D165" s="48" t="s">
        <v>45</v>
      </c>
      <c r="E165" s="219">
        <v>3990</v>
      </c>
      <c r="F165" s="219">
        <f t="shared" si="15"/>
        <v>7980</v>
      </c>
      <c r="G165" s="220">
        <f t="shared" si="17"/>
        <v>4540</v>
      </c>
      <c r="H165" s="211" t="s">
        <v>103</v>
      </c>
      <c r="I165" s="115">
        <v>133.80000000000001</v>
      </c>
      <c r="J165" s="370">
        <f t="shared" ref="J165:J228" si="20">I165 / RIGHT(H165, LEN(H165)-FIND("@", SUBSTITUTE(H165, "*", "@", LEN(H165)-LEN(SUBSTITUTE(H165, "*", "")))))</f>
        <v>1.8583333333333334E-2</v>
      </c>
      <c r="K165" s="115">
        <f t="shared" ref="K165:K196" si="21">FLOOR(($I165 / RIGHT($H165, LEN($H165) - FIND("@", SUBSTITUTE($H165, "*", "@", 2)))) * VLOOKUP($H165, $C$255:$G$259, 5, FALSE), 1)</f>
        <v>508</v>
      </c>
      <c r="L165" s="221"/>
      <c r="M165" s="222"/>
      <c r="N165" s="456" t="s">
        <v>442</v>
      </c>
      <c r="O165" s="576" t="s">
        <v>177</v>
      </c>
      <c r="P165" s="577"/>
      <c r="Q165" s="12" t="str">
        <f t="shared" si="16"/>
        <v>벽체_SU|벽체_SU_20A|50A</v>
      </c>
      <c r="S165" s="104"/>
      <c r="T165" s="107"/>
      <c r="U165" s="107"/>
    </row>
    <row r="166" spans="1:21" ht="16.899999999999999" customHeight="1">
      <c r="A166" s="494">
        <f t="shared" si="18"/>
        <v>158</v>
      </c>
      <c r="B166" s="476" t="s">
        <v>143</v>
      </c>
      <c r="C166" s="218" t="s">
        <v>144</v>
      </c>
      <c r="D166" s="176" t="s">
        <v>46</v>
      </c>
      <c r="E166" s="223">
        <v>7480</v>
      </c>
      <c r="F166" s="223">
        <f t="shared" si="15"/>
        <v>14960</v>
      </c>
      <c r="G166" s="177">
        <f t="shared" si="17"/>
        <v>8520</v>
      </c>
      <c r="H166" s="211" t="s">
        <v>145</v>
      </c>
      <c r="I166" s="114">
        <v>133.80000000000001</v>
      </c>
      <c r="J166" s="368">
        <f t="shared" si="20"/>
        <v>2.7875000000000004E-2</v>
      </c>
      <c r="K166" s="114">
        <f t="shared" si="21"/>
        <v>1526</v>
      </c>
      <c r="L166" s="212" cm="1">
        <f t="array" ref="L166">TRUNC(
  IF(ISNUMBER(SEARCH("대구경 인정서",$O166)),
    _xlfn.LET(
      _xlpm.size, VALUE(SUBSTITUTE(MID($C166, FIND("_",$C166, LEN($C166)-5)+1, LEN($C166)), "A","")),
      _xlpm.base_val, _xlfn.IFS(_xlpm.size&lt;=50, 1/6, _xlpm.size&lt;=100, 1/4, _xlpm.size&lt;=150, 1/3, _xlpm.size&lt;=200, 1/2, TRUE, 0),
      IF(ISNUMBER(SEARCH("벽체", $C166)), _xlpm.base_val * 2, _xlpm.base_val)
    ),
  0),
2)</f>
        <v>0.33</v>
      </c>
      <c r="M166" s="213">
        <f>FLOOR($L166 * $G$262,1)</f>
        <v>1425</v>
      </c>
      <c r="N166" s="450" t="s">
        <v>443</v>
      </c>
      <c r="O166" s="568" t="s">
        <v>178</v>
      </c>
      <c r="P166" s="569"/>
      <c r="Q166" s="12" t="str">
        <f t="shared" si="16"/>
        <v>벽체_SU|벽체_SU_20A|75A</v>
      </c>
      <c r="S166" s="104"/>
      <c r="T166" s="107"/>
      <c r="U166" s="107"/>
    </row>
    <row r="167" spans="1:21">
      <c r="A167" s="494">
        <f t="shared" si="18"/>
        <v>159</v>
      </c>
      <c r="B167" s="476" t="s">
        <v>143</v>
      </c>
      <c r="C167" s="218" t="s">
        <v>147</v>
      </c>
      <c r="D167" s="176" t="s">
        <v>45</v>
      </c>
      <c r="E167" s="177">
        <v>4090</v>
      </c>
      <c r="F167" s="177">
        <f t="shared" si="15"/>
        <v>8180</v>
      </c>
      <c r="G167" s="177">
        <f t="shared" si="17"/>
        <v>4660</v>
      </c>
      <c r="H167" s="211" t="s">
        <v>103</v>
      </c>
      <c r="I167" s="114">
        <v>167.8</v>
      </c>
      <c r="J167" s="368">
        <f t="shared" si="20"/>
        <v>2.3305555555555559E-2</v>
      </c>
      <c r="K167" s="114">
        <f t="shared" si="21"/>
        <v>638</v>
      </c>
      <c r="L167" s="212"/>
      <c r="M167" s="213"/>
      <c r="N167" s="452" t="s">
        <v>442</v>
      </c>
      <c r="O167" s="566" t="s">
        <v>176</v>
      </c>
      <c r="P167" s="567"/>
      <c r="Q167" s="12" t="str">
        <f t="shared" si="16"/>
        <v>벽체_SU|벽체_SU_25A|50A</v>
      </c>
      <c r="S167" s="104"/>
      <c r="T167" s="107"/>
      <c r="U167" s="107"/>
    </row>
    <row r="168" spans="1:21">
      <c r="A168" s="494">
        <f t="shared" si="18"/>
        <v>160</v>
      </c>
      <c r="B168" s="477" t="s">
        <v>143</v>
      </c>
      <c r="C168" s="50" t="s">
        <v>65</v>
      </c>
      <c r="D168" s="176" t="s">
        <v>46</v>
      </c>
      <c r="E168" s="177">
        <v>7750</v>
      </c>
      <c r="F168" s="177">
        <f t="shared" si="15"/>
        <v>15500</v>
      </c>
      <c r="G168" s="177">
        <f t="shared" si="17"/>
        <v>8830</v>
      </c>
      <c r="H168" s="211" t="s">
        <v>103</v>
      </c>
      <c r="I168" s="114">
        <v>167.8</v>
      </c>
      <c r="J168" s="368">
        <f t="shared" si="20"/>
        <v>2.3305555555555559E-2</v>
      </c>
      <c r="K168" s="114">
        <f t="shared" si="21"/>
        <v>638</v>
      </c>
      <c r="L168" s="212"/>
      <c r="M168" s="213"/>
      <c r="N168" s="452" t="s">
        <v>443</v>
      </c>
      <c r="O168" s="566" t="s">
        <v>176</v>
      </c>
      <c r="P168" s="567"/>
      <c r="Q168" s="12" t="str">
        <f t="shared" si="16"/>
        <v>벽체_SU|벽체_SU_25A|75A</v>
      </c>
      <c r="S168" s="104"/>
      <c r="T168" s="107"/>
      <c r="U168" s="107"/>
    </row>
    <row r="169" spans="1:21">
      <c r="A169" s="494">
        <f t="shared" si="18"/>
        <v>161</v>
      </c>
      <c r="B169" s="477" t="s">
        <v>143</v>
      </c>
      <c r="C169" s="50" t="s">
        <v>147</v>
      </c>
      <c r="D169" s="224" t="s">
        <v>146</v>
      </c>
      <c r="E169" s="169">
        <v>8530</v>
      </c>
      <c r="F169" s="170">
        <f t="shared" si="15"/>
        <v>17060</v>
      </c>
      <c r="G169" s="170">
        <f t="shared" si="17"/>
        <v>9720</v>
      </c>
      <c r="H169" s="211" t="s">
        <v>145</v>
      </c>
      <c r="I169" s="114">
        <v>167.8</v>
      </c>
      <c r="J169" s="368">
        <f t="shared" si="20"/>
        <v>3.4958333333333334E-2</v>
      </c>
      <c r="K169" s="114">
        <f t="shared" si="21"/>
        <v>1915</v>
      </c>
      <c r="L169" s="212" cm="1">
        <f t="array" ref="L169">TRUNC(
  IF(ISNUMBER(SEARCH("대구경 인정서",$O169)),
    _xlfn.LET(
      _xlpm.size, VALUE(SUBSTITUTE(MID($C169, FIND("_",$C169, LEN($C169)-5)+1, LEN($C169)), "A","")),
      _xlpm.base_val, _xlfn.IFS(_xlpm.size&lt;=50, 1/6, _xlpm.size&lt;=100, 1/4, _xlpm.size&lt;=150, 1/3, _xlpm.size&lt;=200, 1/2, TRUE, 0),
      IF(ISNUMBER(SEARCH("벽체", $C169)), _xlpm.base_val * 2, _xlpm.base_val)
    ),
  0),
2)</f>
        <v>0.33</v>
      </c>
      <c r="M169" s="213">
        <f>FLOOR($L169 * $G$262,1)</f>
        <v>1425</v>
      </c>
      <c r="N169" s="450" t="s">
        <v>443</v>
      </c>
      <c r="O169" s="568" t="s">
        <v>178</v>
      </c>
      <c r="P169" s="569"/>
      <c r="Q169" s="12" t="str">
        <f t="shared" si="16"/>
        <v>벽체_SU|벽체_SU_25A|100A(외경 130.7mm 이하)</v>
      </c>
      <c r="S169" s="104"/>
      <c r="T169" s="107"/>
      <c r="U169" s="107"/>
    </row>
    <row r="170" spans="1:21">
      <c r="A170" s="494">
        <f t="shared" si="18"/>
        <v>162</v>
      </c>
      <c r="B170" s="477" t="s">
        <v>143</v>
      </c>
      <c r="C170" s="168" t="s">
        <v>148</v>
      </c>
      <c r="D170" s="51" t="s">
        <v>45</v>
      </c>
      <c r="E170" s="169">
        <v>4150</v>
      </c>
      <c r="F170" s="170">
        <f t="shared" si="15"/>
        <v>8300</v>
      </c>
      <c r="G170" s="170">
        <f t="shared" si="17"/>
        <v>4730</v>
      </c>
      <c r="H170" s="211" t="s">
        <v>103</v>
      </c>
      <c r="I170" s="113">
        <v>209.8</v>
      </c>
      <c r="J170" s="368">
        <f t="shared" si="20"/>
        <v>2.9138888888888891E-2</v>
      </c>
      <c r="K170" s="114">
        <f t="shared" si="21"/>
        <v>798</v>
      </c>
      <c r="L170" s="212"/>
      <c r="M170" s="213"/>
      <c r="N170" s="452" t="s">
        <v>442</v>
      </c>
      <c r="O170" s="566" t="s">
        <v>176</v>
      </c>
      <c r="P170" s="567"/>
      <c r="Q170" s="12" t="str">
        <f t="shared" si="16"/>
        <v>벽체_SU|벽체_SU_30A|50A</v>
      </c>
      <c r="S170" s="104"/>
      <c r="T170" s="107"/>
      <c r="U170" s="107"/>
    </row>
    <row r="171" spans="1:21" ht="17.100000000000001" customHeight="1">
      <c r="A171" s="494">
        <f t="shared" si="18"/>
        <v>163</v>
      </c>
      <c r="B171" s="477" t="s">
        <v>143</v>
      </c>
      <c r="C171" s="168" t="s">
        <v>148</v>
      </c>
      <c r="D171" s="51" t="s">
        <v>46</v>
      </c>
      <c r="E171" s="169">
        <v>5580</v>
      </c>
      <c r="F171" s="170">
        <f t="shared" si="15"/>
        <v>11160</v>
      </c>
      <c r="G171" s="170">
        <f t="shared" si="17"/>
        <v>6360</v>
      </c>
      <c r="H171" s="211" t="s">
        <v>103</v>
      </c>
      <c r="I171" s="113">
        <v>209.8</v>
      </c>
      <c r="J171" s="368">
        <f t="shared" si="20"/>
        <v>2.9138888888888891E-2</v>
      </c>
      <c r="K171" s="114">
        <f t="shared" si="21"/>
        <v>798</v>
      </c>
      <c r="L171" s="212"/>
      <c r="M171" s="213"/>
      <c r="N171" s="452" t="s">
        <v>442</v>
      </c>
      <c r="O171" s="566" t="s">
        <v>176</v>
      </c>
      <c r="P171" s="567"/>
      <c r="Q171" s="12" t="str">
        <f t="shared" si="16"/>
        <v>벽체_SU|벽체_SU_30A|75A</v>
      </c>
      <c r="S171" s="104"/>
      <c r="T171" s="107"/>
      <c r="U171" s="107"/>
    </row>
    <row r="172" spans="1:21">
      <c r="A172" s="494">
        <f t="shared" si="18"/>
        <v>164</v>
      </c>
      <c r="B172" s="477" t="s">
        <v>143</v>
      </c>
      <c r="C172" s="168" t="s">
        <v>148</v>
      </c>
      <c r="D172" s="51" t="s">
        <v>155</v>
      </c>
      <c r="E172" s="169">
        <v>7920</v>
      </c>
      <c r="F172" s="170">
        <f t="shared" si="15"/>
        <v>15840</v>
      </c>
      <c r="G172" s="170">
        <f t="shared" si="17"/>
        <v>9020</v>
      </c>
      <c r="H172" s="211" t="s">
        <v>145</v>
      </c>
      <c r="I172" s="113">
        <v>209.8</v>
      </c>
      <c r="J172" s="368">
        <f t="shared" si="20"/>
        <v>4.3708333333333335E-2</v>
      </c>
      <c r="K172" s="114">
        <f t="shared" si="21"/>
        <v>2394</v>
      </c>
      <c r="L172" s="212" cm="1">
        <f t="array" ref="L172">TRUNC(
  IF(ISNUMBER(SEARCH("대구경 인정서",$O172)),
    _xlfn.LET(
      _xlpm.size, VALUE(SUBSTITUTE(MID($C172, FIND("_",$C172, LEN($C172)-5)+1, LEN($C172)), "A","")),
      _xlpm.base_val, _xlfn.IFS(_xlpm.size&lt;=50, 1/6, _xlpm.size&lt;=100, 1/4, _xlpm.size&lt;=150, 1/3, _xlpm.size&lt;=200, 1/2, TRUE, 0),
      IF(ISNUMBER(SEARCH("벽체", $C172)), _xlpm.base_val * 2, _xlpm.base_val)
    ),
  0),
2)</f>
        <v>0.33</v>
      </c>
      <c r="M172" s="213">
        <f>FLOOR($L172 * $G$262,1)</f>
        <v>1425</v>
      </c>
      <c r="N172" s="450" t="s">
        <v>443</v>
      </c>
      <c r="O172" s="568" t="s">
        <v>178</v>
      </c>
      <c r="P172" s="569"/>
      <c r="Q172" s="12" t="str">
        <f t="shared" si="16"/>
        <v>벽체_SU|벽체_SU_30A|75A(개구부 간격 33.85~51.1mm)</v>
      </c>
      <c r="S172" s="104"/>
      <c r="T172" s="107"/>
      <c r="U172" s="107"/>
    </row>
    <row r="173" spans="1:21">
      <c r="A173" s="494">
        <f t="shared" si="18"/>
        <v>165</v>
      </c>
      <c r="B173" s="477" t="s">
        <v>143</v>
      </c>
      <c r="C173" s="168" t="s">
        <v>148</v>
      </c>
      <c r="D173" s="51" t="s">
        <v>47</v>
      </c>
      <c r="E173" s="169">
        <v>8680</v>
      </c>
      <c r="F173" s="170">
        <f t="shared" si="15"/>
        <v>17360</v>
      </c>
      <c r="G173" s="170">
        <f t="shared" si="17"/>
        <v>9890</v>
      </c>
      <c r="H173" s="211" t="s">
        <v>145</v>
      </c>
      <c r="I173" s="113">
        <v>209.8</v>
      </c>
      <c r="J173" s="368">
        <f t="shared" si="20"/>
        <v>4.3708333333333335E-2</v>
      </c>
      <c r="K173" s="114">
        <f t="shared" si="21"/>
        <v>2394</v>
      </c>
      <c r="L173" s="212"/>
      <c r="M173" s="213"/>
      <c r="N173" s="452" t="s">
        <v>443</v>
      </c>
      <c r="O173" s="566" t="s">
        <v>176</v>
      </c>
      <c r="P173" s="567"/>
      <c r="Q173" s="12" t="str">
        <f t="shared" si="16"/>
        <v>벽체_SU|벽체_SU_30A|100A</v>
      </c>
      <c r="S173" s="104"/>
      <c r="T173" s="107"/>
      <c r="U173" s="107"/>
    </row>
    <row r="174" spans="1:21">
      <c r="A174" s="494">
        <f t="shared" si="18"/>
        <v>166</v>
      </c>
      <c r="B174" s="477" t="s">
        <v>143</v>
      </c>
      <c r="C174" s="168" t="s">
        <v>149</v>
      </c>
      <c r="D174" s="51" t="s">
        <v>45</v>
      </c>
      <c r="E174" s="169">
        <v>4270</v>
      </c>
      <c r="F174" s="170">
        <f t="shared" si="15"/>
        <v>8540</v>
      </c>
      <c r="G174" s="170">
        <f t="shared" si="17"/>
        <v>4860</v>
      </c>
      <c r="H174" s="211" t="s">
        <v>103</v>
      </c>
      <c r="I174" s="113">
        <v>268.2</v>
      </c>
      <c r="J174" s="368">
        <f t="shared" si="20"/>
        <v>3.7249999999999998E-2</v>
      </c>
      <c r="K174" s="114">
        <f t="shared" si="21"/>
        <v>1020</v>
      </c>
      <c r="L174" s="212"/>
      <c r="M174" s="213"/>
      <c r="N174" s="452" t="s">
        <v>442</v>
      </c>
      <c r="O174" s="566" t="s">
        <v>176</v>
      </c>
      <c r="P174" s="567"/>
      <c r="Q174" s="12" t="str">
        <f t="shared" si="16"/>
        <v>벽체_SU|벽체_SU_40A|50A</v>
      </c>
      <c r="S174" s="104"/>
      <c r="T174" s="107"/>
      <c r="U174" s="107"/>
    </row>
    <row r="175" spans="1:21">
      <c r="A175" s="494">
        <f t="shared" si="18"/>
        <v>167</v>
      </c>
      <c r="B175" s="477" t="s">
        <v>143</v>
      </c>
      <c r="C175" s="168" t="s">
        <v>149</v>
      </c>
      <c r="D175" s="51" t="s">
        <v>156</v>
      </c>
      <c r="E175" s="169">
        <v>5690</v>
      </c>
      <c r="F175" s="170">
        <f t="shared" si="15"/>
        <v>11380</v>
      </c>
      <c r="G175" s="170">
        <f t="shared" si="17"/>
        <v>6480</v>
      </c>
      <c r="H175" s="211" t="s">
        <v>103</v>
      </c>
      <c r="I175" s="113">
        <v>268.2</v>
      </c>
      <c r="J175" s="368">
        <f t="shared" si="20"/>
        <v>3.7249999999999998E-2</v>
      </c>
      <c r="K175" s="114">
        <f t="shared" si="21"/>
        <v>1020</v>
      </c>
      <c r="L175" s="212"/>
      <c r="M175" s="213"/>
      <c r="N175" s="450" t="s">
        <v>442</v>
      </c>
      <c r="O175" s="588" t="s">
        <v>177</v>
      </c>
      <c r="P175" s="589"/>
      <c r="Q175" s="12" t="str">
        <f t="shared" si="16"/>
        <v>벽체_SU|벽체_SU_40A|75A(외경110.4mm 이하)</v>
      </c>
      <c r="S175" s="104"/>
      <c r="T175" s="107"/>
      <c r="U175" s="107"/>
    </row>
    <row r="176" spans="1:21">
      <c r="A176" s="494">
        <f t="shared" si="18"/>
        <v>168</v>
      </c>
      <c r="B176" s="477" t="s">
        <v>143</v>
      </c>
      <c r="C176" s="168" t="s">
        <v>149</v>
      </c>
      <c r="D176" s="51" t="s">
        <v>155</v>
      </c>
      <c r="E176" s="169">
        <v>8280</v>
      </c>
      <c r="F176" s="170">
        <f t="shared" si="15"/>
        <v>16560</v>
      </c>
      <c r="G176" s="170">
        <f t="shared" si="17"/>
        <v>9430</v>
      </c>
      <c r="H176" s="211" t="s">
        <v>145</v>
      </c>
      <c r="I176" s="113">
        <v>268.2</v>
      </c>
      <c r="J176" s="368">
        <f t="shared" si="20"/>
        <v>5.5875000000000001E-2</v>
      </c>
      <c r="K176" s="114">
        <f t="shared" si="21"/>
        <v>3060</v>
      </c>
      <c r="L176" s="212" cm="1">
        <f t="array" ref="L176">TRUNC(
  IF(ISNUMBER(SEARCH("대구경 인정서",$O176)),
    _xlfn.LET(
      _xlpm.size, VALUE(SUBSTITUTE(MID($C176, FIND("_",$C176, LEN($C176)-5)+1, LEN($C176)), "A","")),
      _xlpm.base_val, _xlfn.IFS(_xlpm.size&lt;=50, 1/6, _xlpm.size&lt;=100, 1/4, _xlpm.size&lt;=150, 1/3, _xlpm.size&lt;=200, 1/2, TRUE, 0),
      IF(ISNUMBER(SEARCH("벽체", $C176)), _xlpm.base_val * 2, _xlpm.base_val)
    ),
  0),
2)</f>
        <v>0.33</v>
      </c>
      <c r="M176" s="213">
        <f>FLOOR($L176 * $G$262,1)</f>
        <v>1425</v>
      </c>
      <c r="N176" s="450" t="s">
        <v>443</v>
      </c>
      <c r="O176" s="568" t="s">
        <v>178</v>
      </c>
      <c r="P176" s="569"/>
      <c r="Q176" s="12" t="str">
        <f t="shared" si="16"/>
        <v>벽체_SU|벽체_SU_40A|75A(개구부 간격 33.85~51.1mm)</v>
      </c>
      <c r="S176" s="104"/>
      <c r="T176" s="107"/>
      <c r="U176" s="107"/>
    </row>
    <row r="177" spans="1:21">
      <c r="A177" s="494">
        <f t="shared" si="18"/>
        <v>169</v>
      </c>
      <c r="B177" s="477" t="s">
        <v>143</v>
      </c>
      <c r="C177" s="168" t="s">
        <v>149</v>
      </c>
      <c r="D177" s="51" t="s">
        <v>47</v>
      </c>
      <c r="E177" s="169">
        <v>8990</v>
      </c>
      <c r="F177" s="170">
        <f t="shared" si="15"/>
        <v>17980</v>
      </c>
      <c r="G177" s="170">
        <f t="shared" si="17"/>
        <v>10240</v>
      </c>
      <c r="H177" s="211" t="s">
        <v>145</v>
      </c>
      <c r="I177" s="113">
        <v>268.2</v>
      </c>
      <c r="J177" s="368">
        <f t="shared" si="20"/>
        <v>5.5875000000000001E-2</v>
      </c>
      <c r="K177" s="114">
        <f t="shared" si="21"/>
        <v>3060</v>
      </c>
      <c r="L177" s="212"/>
      <c r="M177" s="213"/>
      <c r="N177" s="452" t="s">
        <v>443</v>
      </c>
      <c r="O177" s="566" t="s">
        <v>176</v>
      </c>
      <c r="P177" s="567"/>
      <c r="Q177" s="12" t="str">
        <f t="shared" si="16"/>
        <v>벽체_SU|벽체_SU_40A|100A</v>
      </c>
      <c r="S177" s="104"/>
      <c r="T177" s="107"/>
      <c r="U177" s="107"/>
    </row>
    <row r="178" spans="1:21">
      <c r="A178" s="494">
        <f t="shared" si="18"/>
        <v>170</v>
      </c>
      <c r="B178" s="477" t="s">
        <v>143</v>
      </c>
      <c r="C178" s="168" t="s">
        <v>150</v>
      </c>
      <c r="D178" s="51" t="s">
        <v>45</v>
      </c>
      <c r="E178" s="169">
        <v>4370</v>
      </c>
      <c r="F178" s="170">
        <f t="shared" si="15"/>
        <v>8740</v>
      </c>
      <c r="G178" s="170">
        <f t="shared" si="17"/>
        <v>4980</v>
      </c>
      <c r="H178" s="211" t="s">
        <v>103</v>
      </c>
      <c r="I178" s="113">
        <v>305.39999999999998</v>
      </c>
      <c r="J178" s="368">
        <f t="shared" si="20"/>
        <v>4.2416666666666665E-2</v>
      </c>
      <c r="K178" s="114">
        <f t="shared" si="21"/>
        <v>1161</v>
      </c>
      <c r="L178" s="212"/>
      <c r="M178" s="213"/>
      <c r="N178" s="452" t="s">
        <v>442</v>
      </c>
      <c r="O178" s="566" t="s">
        <v>176</v>
      </c>
      <c r="P178" s="567"/>
      <c r="Q178" s="12" t="str">
        <f t="shared" si="16"/>
        <v>벽체_SU|벽체_SU_50A|50A</v>
      </c>
      <c r="S178" s="104"/>
      <c r="T178" s="107"/>
      <c r="U178" s="107"/>
    </row>
    <row r="179" spans="1:21">
      <c r="A179" s="494">
        <f t="shared" si="18"/>
        <v>171</v>
      </c>
      <c r="B179" s="477" t="s">
        <v>143</v>
      </c>
      <c r="C179" s="168" t="s">
        <v>150</v>
      </c>
      <c r="D179" s="51" t="s">
        <v>46</v>
      </c>
      <c r="E179" s="169">
        <v>5750</v>
      </c>
      <c r="F179" s="170">
        <f t="shared" si="15"/>
        <v>11500</v>
      </c>
      <c r="G179" s="170">
        <f t="shared" si="17"/>
        <v>6550</v>
      </c>
      <c r="H179" s="211" t="s">
        <v>103</v>
      </c>
      <c r="I179" s="113">
        <v>305.39999999999998</v>
      </c>
      <c r="J179" s="368">
        <f t="shared" si="20"/>
        <v>4.2416666666666665E-2</v>
      </c>
      <c r="K179" s="114">
        <f t="shared" si="21"/>
        <v>1161</v>
      </c>
      <c r="L179" s="212"/>
      <c r="M179" s="213"/>
      <c r="N179" s="452" t="s">
        <v>442</v>
      </c>
      <c r="O179" s="566" t="s">
        <v>176</v>
      </c>
      <c r="P179" s="567"/>
      <c r="Q179" s="12" t="str">
        <f t="shared" si="16"/>
        <v>벽체_SU|벽체_SU_50A|75A</v>
      </c>
      <c r="S179" s="104"/>
      <c r="T179" s="107"/>
      <c r="U179" s="107"/>
    </row>
    <row r="180" spans="1:21">
      <c r="A180" s="494">
        <f t="shared" si="18"/>
        <v>172</v>
      </c>
      <c r="B180" s="477" t="s">
        <v>143</v>
      </c>
      <c r="C180" s="168" t="s">
        <v>150</v>
      </c>
      <c r="D180" s="51" t="s">
        <v>47</v>
      </c>
      <c r="E180" s="169">
        <v>9230</v>
      </c>
      <c r="F180" s="170">
        <f t="shared" si="15"/>
        <v>18460</v>
      </c>
      <c r="G180" s="170">
        <f t="shared" si="17"/>
        <v>10520</v>
      </c>
      <c r="H180" s="211" t="s">
        <v>145</v>
      </c>
      <c r="I180" s="113">
        <v>305.39999999999998</v>
      </c>
      <c r="J180" s="368">
        <f t="shared" si="20"/>
        <v>6.3625000000000001E-2</v>
      </c>
      <c r="K180" s="114">
        <f t="shared" si="21"/>
        <v>3485</v>
      </c>
      <c r="L180" s="212" cm="1">
        <f t="array" ref="L180">TRUNC(
  IF(ISNUMBER(SEARCH("대구경 인정서",$O180)),
    _xlfn.LET(
      _xlpm.size, VALUE(SUBSTITUTE(MID($C180, FIND("_",$C180, LEN($C180)-5)+1, LEN($C180)), "A","")),
      _xlpm.base_val, _xlfn.IFS(_xlpm.size&lt;=50, 1/6, _xlpm.size&lt;=100, 1/4, _xlpm.size&lt;=150, 1/3, _xlpm.size&lt;=200, 1/2, TRUE, 0),
      IF(ISNUMBER(SEARCH("벽체", $C180)), _xlpm.base_val * 2, _xlpm.base_val)
    ),
  0),
2)</f>
        <v>0.33</v>
      </c>
      <c r="M180" s="213">
        <f>FLOOR($L180 * $G$262,1)</f>
        <v>1425</v>
      </c>
      <c r="N180" s="450" t="s">
        <v>443</v>
      </c>
      <c r="O180" s="568" t="s">
        <v>178</v>
      </c>
      <c r="P180" s="569"/>
      <c r="Q180" s="12" t="str">
        <f t="shared" si="16"/>
        <v>벽체_SU|벽체_SU_50A|100A</v>
      </c>
      <c r="S180" s="104"/>
      <c r="T180" s="107"/>
      <c r="U180" s="107"/>
    </row>
    <row r="181" spans="1:21">
      <c r="A181" s="494">
        <f t="shared" si="18"/>
        <v>173</v>
      </c>
      <c r="B181" s="477" t="s">
        <v>143</v>
      </c>
      <c r="C181" s="168" t="s">
        <v>151</v>
      </c>
      <c r="D181" s="51" t="s">
        <v>46</v>
      </c>
      <c r="E181" s="169">
        <v>5770</v>
      </c>
      <c r="F181" s="170">
        <f t="shared" si="15"/>
        <v>11540</v>
      </c>
      <c r="G181" s="170">
        <f t="shared" si="17"/>
        <v>6570</v>
      </c>
      <c r="H181" s="211" t="s">
        <v>103</v>
      </c>
      <c r="I181" s="113">
        <v>380.2</v>
      </c>
      <c r="J181" s="368">
        <f t="shared" si="20"/>
        <v>5.2805555555555557E-2</v>
      </c>
      <c r="K181" s="114">
        <f t="shared" si="21"/>
        <v>1446</v>
      </c>
      <c r="L181" s="212"/>
      <c r="M181" s="213"/>
      <c r="N181" s="452" t="s">
        <v>442</v>
      </c>
      <c r="O181" s="566" t="s">
        <v>176</v>
      </c>
      <c r="P181" s="567"/>
      <c r="Q181" s="12" t="str">
        <f t="shared" si="16"/>
        <v>벽체_SU|벽체_SU_60A|75A</v>
      </c>
      <c r="S181" s="104"/>
      <c r="T181" s="107"/>
      <c r="U181" s="107"/>
    </row>
    <row r="182" spans="1:21" ht="17.100000000000001" customHeight="1">
      <c r="A182" s="494">
        <f t="shared" si="18"/>
        <v>174</v>
      </c>
      <c r="B182" s="477" t="s">
        <v>143</v>
      </c>
      <c r="C182" s="168" t="s">
        <v>151</v>
      </c>
      <c r="D182" s="51" t="s">
        <v>157</v>
      </c>
      <c r="E182" s="169">
        <v>6500</v>
      </c>
      <c r="F182" s="170">
        <f t="shared" si="15"/>
        <v>13000</v>
      </c>
      <c r="G182" s="170">
        <f t="shared" si="17"/>
        <v>7410</v>
      </c>
      <c r="H182" s="211" t="s">
        <v>103</v>
      </c>
      <c r="I182" s="113">
        <v>380.2</v>
      </c>
      <c r="J182" s="368">
        <f t="shared" si="20"/>
        <v>5.2805555555555557E-2</v>
      </c>
      <c r="K182" s="114">
        <f t="shared" si="21"/>
        <v>1446</v>
      </c>
      <c r="L182" s="212"/>
      <c r="M182" s="213"/>
      <c r="N182" s="452" t="s">
        <v>442</v>
      </c>
      <c r="O182" s="566" t="s">
        <v>176</v>
      </c>
      <c r="P182" s="567"/>
      <c r="Q182" s="12" t="str">
        <f t="shared" si="16"/>
        <v>벽체_SU|벽체_SU_60A|100A(외경128.2mm 이하)</v>
      </c>
      <c r="S182" s="104"/>
      <c r="T182" s="107"/>
      <c r="U182" s="107"/>
    </row>
    <row r="183" spans="1:21">
      <c r="A183" s="494">
        <f t="shared" si="18"/>
        <v>175</v>
      </c>
      <c r="B183" s="477" t="s">
        <v>143</v>
      </c>
      <c r="C183" s="168" t="s">
        <v>151</v>
      </c>
      <c r="D183" s="51" t="s">
        <v>158</v>
      </c>
      <c r="E183" s="169">
        <v>9550</v>
      </c>
      <c r="F183" s="170">
        <f t="shared" si="15"/>
        <v>19100</v>
      </c>
      <c r="G183" s="170">
        <f t="shared" si="17"/>
        <v>10880</v>
      </c>
      <c r="H183" s="211" t="s">
        <v>145</v>
      </c>
      <c r="I183" s="113">
        <v>380.2</v>
      </c>
      <c r="J183" s="368">
        <f t="shared" si="20"/>
        <v>7.9208333333333325E-2</v>
      </c>
      <c r="K183" s="114">
        <f t="shared" si="21"/>
        <v>4339</v>
      </c>
      <c r="L183" s="212" cm="1">
        <f t="array" ref="L183">TRUNC(
  IF(ISNUMBER(SEARCH("대구경 인정서",$O183)),
    _xlfn.LET(
      _xlpm.size, VALUE(SUBSTITUTE(MID($C183, FIND("_",$C183, LEN($C183)-5)+1, LEN($C183)), "A","")),
      _xlpm.base_val, _xlfn.IFS(_xlpm.size&lt;=50, 1/6, _xlpm.size&lt;=100, 1/4, _xlpm.size&lt;=150, 1/3, _xlpm.size&lt;=200, 1/2, TRUE, 0),
      IF(ISNUMBER(SEARCH("벽체", $C183)), _xlpm.base_val * 2, _xlpm.base_val)
    ),
  0),
2)</f>
        <v>0.5</v>
      </c>
      <c r="M183" s="213">
        <f>FLOOR($L183 * $G$262,1)</f>
        <v>2160</v>
      </c>
      <c r="N183" s="450" t="s">
        <v>443</v>
      </c>
      <c r="O183" s="568" t="s">
        <v>178</v>
      </c>
      <c r="P183" s="569"/>
      <c r="Q183" s="12" t="str">
        <f t="shared" si="16"/>
        <v>벽체_SU|벽체_SU_60A|100A(개구부 간격 33.85~51.1mm)</v>
      </c>
      <c r="S183" s="104"/>
      <c r="T183" s="107"/>
      <c r="U183" s="107"/>
    </row>
    <row r="184" spans="1:21">
      <c r="A184" s="494">
        <f t="shared" si="18"/>
        <v>176</v>
      </c>
      <c r="B184" s="477" t="s">
        <v>143</v>
      </c>
      <c r="C184" s="168" t="s">
        <v>151</v>
      </c>
      <c r="D184" s="51" t="s">
        <v>48</v>
      </c>
      <c r="E184" s="169">
        <v>11130</v>
      </c>
      <c r="F184" s="170">
        <f t="shared" si="15"/>
        <v>22260</v>
      </c>
      <c r="G184" s="170">
        <f t="shared" si="17"/>
        <v>12680</v>
      </c>
      <c r="H184" s="211" t="s">
        <v>145</v>
      </c>
      <c r="I184" s="113">
        <v>380.2</v>
      </c>
      <c r="J184" s="368">
        <f t="shared" si="20"/>
        <v>7.9208333333333325E-2</v>
      </c>
      <c r="K184" s="114">
        <f t="shared" si="21"/>
        <v>4339</v>
      </c>
      <c r="L184" s="212" cm="1">
        <f t="array" ref="L184">TRUNC(
  IF(ISNUMBER(SEARCH("대구경 인정서",$O184)),
    _xlfn.LET(
      _xlpm.size, VALUE(SUBSTITUTE(MID($C184, FIND("_",$C184, LEN($C184)-5)+1, LEN($C184)), "A","")),
      _xlpm.base_val, _xlfn.IFS(_xlpm.size&lt;=50, 1/6, _xlpm.size&lt;=100, 1/4, _xlpm.size&lt;=150, 1/3, _xlpm.size&lt;=200, 1/2, TRUE, 0),
      IF(ISNUMBER(SEARCH("벽체", $C184)), _xlpm.base_val * 2, _xlpm.base_val)
    ),
  0),
2)</f>
        <v>0.5</v>
      </c>
      <c r="M184" s="213">
        <f>FLOOR($L184 * $G$262,1)</f>
        <v>2160</v>
      </c>
      <c r="N184" s="450" t="s">
        <v>443</v>
      </c>
      <c r="O184" s="568" t="s">
        <v>178</v>
      </c>
      <c r="P184" s="569"/>
      <c r="Q184" s="12" t="str">
        <f t="shared" si="16"/>
        <v>벽체_SU|벽체_SU_60A|125A</v>
      </c>
      <c r="S184" s="104"/>
      <c r="T184" s="107"/>
      <c r="U184" s="107"/>
    </row>
    <row r="185" spans="1:21" ht="17.100000000000001" customHeight="1">
      <c r="A185" s="494">
        <f t="shared" si="18"/>
        <v>177</v>
      </c>
      <c r="B185" s="477" t="s">
        <v>143</v>
      </c>
      <c r="C185" s="168" t="s">
        <v>152</v>
      </c>
      <c r="D185" s="51" t="s">
        <v>46</v>
      </c>
      <c r="E185" s="169">
        <v>5840</v>
      </c>
      <c r="F185" s="170">
        <f t="shared" si="15"/>
        <v>11680</v>
      </c>
      <c r="G185" s="170">
        <f t="shared" si="17"/>
        <v>6650</v>
      </c>
      <c r="H185" s="211" t="s">
        <v>103</v>
      </c>
      <c r="I185" s="113">
        <v>479.4</v>
      </c>
      <c r="J185" s="368">
        <f t="shared" si="20"/>
        <v>6.6583333333333328E-2</v>
      </c>
      <c r="K185" s="114">
        <f t="shared" si="21"/>
        <v>1823</v>
      </c>
      <c r="L185" s="212"/>
      <c r="M185" s="213"/>
      <c r="N185" s="452" t="s">
        <v>442</v>
      </c>
      <c r="O185" s="566" t="s">
        <v>176</v>
      </c>
      <c r="P185" s="567"/>
      <c r="Q185" s="12" t="str">
        <f t="shared" si="16"/>
        <v>벽체_SU|벽체_SU_75A|75A</v>
      </c>
      <c r="S185" s="104"/>
      <c r="T185" s="107"/>
      <c r="U185" s="107"/>
    </row>
    <row r="186" spans="1:21">
      <c r="A186" s="494">
        <f t="shared" si="18"/>
        <v>178</v>
      </c>
      <c r="B186" s="477" t="s">
        <v>143</v>
      </c>
      <c r="C186" s="168" t="s">
        <v>152</v>
      </c>
      <c r="D186" s="51" t="s">
        <v>47</v>
      </c>
      <c r="E186" s="169">
        <v>6520</v>
      </c>
      <c r="F186" s="170">
        <f t="shared" si="15"/>
        <v>13040</v>
      </c>
      <c r="G186" s="170">
        <f t="shared" si="17"/>
        <v>7430</v>
      </c>
      <c r="H186" s="211" t="s">
        <v>103</v>
      </c>
      <c r="I186" s="113">
        <v>479.4</v>
      </c>
      <c r="J186" s="368">
        <f t="shared" si="20"/>
        <v>6.6583333333333328E-2</v>
      </c>
      <c r="K186" s="114">
        <f t="shared" si="21"/>
        <v>1823</v>
      </c>
      <c r="L186" s="212"/>
      <c r="M186" s="213"/>
      <c r="N186" s="452" t="s">
        <v>442</v>
      </c>
      <c r="O186" s="566" t="s">
        <v>176</v>
      </c>
      <c r="P186" s="567"/>
      <c r="Q186" s="12" t="str">
        <f t="shared" si="16"/>
        <v>벽체_SU|벽체_SU_75A|100A</v>
      </c>
      <c r="S186" s="104"/>
      <c r="T186" s="107"/>
      <c r="U186" s="107"/>
    </row>
    <row r="187" spans="1:21">
      <c r="A187" s="494">
        <f t="shared" si="18"/>
        <v>179</v>
      </c>
      <c r="B187" s="477" t="s">
        <v>143</v>
      </c>
      <c r="C187" s="168" t="s">
        <v>152</v>
      </c>
      <c r="D187" s="51" t="s">
        <v>158</v>
      </c>
      <c r="E187" s="169">
        <v>10030</v>
      </c>
      <c r="F187" s="170">
        <f t="shared" si="15"/>
        <v>20060</v>
      </c>
      <c r="G187" s="170">
        <f t="shared" si="17"/>
        <v>11430</v>
      </c>
      <c r="H187" s="211" t="s">
        <v>145</v>
      </c>
      <c r="I187" s="113">
        <v>479.4</v>
      </c>
      <c r="J187" s="368">
        <f t="shared" si="20"/>
        <v>9.9874999999999992E-2</v>
      </c>
      <c r="K187" s="114">
        <f t="shared" si="21"/>
        <v>5471</v>
      </c>
      <c r="L187" s="212" cm="1">
        <f t="array" ref="L187">TRUNC(
  IF(ISNUMBER(SEARCH("대구경 인정서",$O187)),
    _xlfn.LET(
      _xlpm.size, VALUE(SUBSTITUTE(MID($C187, FIND("_",$C187, LEN($C187)-5)+1, LEN($C187)), "A","")),
      _xlpm.base_val, _xlfn.IFS(_xlpm.size&lt;=50, 1/6, _xlpm.size&lt;=100, 1/4, _xlpm.size&lt;=150, 1/3, _xlpm.size&lt;=200, 1/2, TRUE, 0),
      IF(ISNUMBER(SEARCH("벽체", $C187)), _xlpm.base_val * 2, _xlpm.base_val)
    ),
  0),
2)</f>
        <v>0.5</v>
      </c>
      <c r="M187" s="213">
        <f>FLOOR($L187 * $G$262,1)</f>
        <v>2160</v>
      </c>
      <c r="N187" s="450" t="s">
        <v>443</v>
      </c>
      <c r="O187" s="568" t="s">
        <v>178</v>
      </c>
      <c r="P187" s="569"/>
      <c r="Q187" s="12" t="str">
        <f t="shared" si="16"/>
        <v>벽체_SU|벽체_SU_75A|100A(개구부 간격 33.85~51.1mm)</v>
      </c>
      <c r="S187" s="104"/>
      <c r="T187" s="107"/>
      <c r="U187" s="107"/>
    </row>
    <row r="188" spans="1:21" ht="17.100000000000001" customHeight="1">
      <c r="A188" s="494">
        <f t="shared" si="18"/>
        <v>180</v>
      </c>
      <c r="B188" s="477" t="s">
        <v>143</v>
      </c>
      <c r="C188" s="168" t="s">
        <v>152</v>
      </c>
      <c r="D188" s="51" t="s">
        <v>48</v>
      </c>
      <c r="E188" s="169">
        <v>11510</v>
      </c>
      <c r="F188" s="170">
        <f t="shared" si="15"/>
        <v>23020</v>
      </c>
      <c r="G188" s="170">
        <f t="shared" si="17"/>
        <v>13120</v>
      </c>
      <c r="H188" s="211" t="s">
        <v>145</v>
      </c>
      <c r="I188" s="113">
        <v>479.4</v>
      </c>
      <c r="J188" s="368">
        <f t="shared" si="20"/>
        <v>9.9874999999999992E-2</v>
      </c>
      <c r="K188" s="114">
        <f t="shared" si="21"/>
        <v>5471</v>
      </c>
      <c r="L188" s="212" cm="1">
        <f t="array" ref="L188">TRUNC(
  IF(ISNUMBER(SEARCH("대구경 인정서",$O188)),
    _xlfn.LET(
      _xlpm.size, VALUE(SUBSTITUTE(MID($C188, FIND("_",$C188, LEN($C188)-5)+1, LEN($C188)), "A","")),
      _xlpm.base_val, _xlfn.IFS(_xlpm.size&lt;=50, 1/6, _xlpm.size&lt;=100, 1/4, _xlpm.size&lt;=150, 1/3, _xlpm.size&lt;=200, 1/2, TRUE, 0),
      IF(ISNUMBER(SEARCH("벽체", $C188)), _xlpm.base_val * 2, _xlpm.base_val)
    ),
  0),
2)</f>
        <v>0.5</v>
      </c>
      <c r="M188" s="213">
        <f>FLOOR($L188 * $G$262,1)</f>
        <v>2160</v>
      </c>
      <c r="N188" s="450" t="s">
        <v>443</v>
      </c>
      <c r="O188" s="568" t="s">
        <v>178</v>
      </c>
      <c r="P188" s="569"/>
      <c r="Q188" s="12" t="str">
        <f t="shared" si="16"/>
        <v>벽체_SU|벽체_SU_75A|125A</v>
      </c>
      <c r="S188" s="104"/>
      <c r="T188" s="107"/>
      <c r="U188" s="107"/>
    </row>
    <row r="189" spans="1:21">
      <c r="A189" s="494">
        <f t="shared" si="18"/>
        <v>181</v>
      </c>
      <c r="B189" s="477" t="s">
        <v>143</v>
      </c>
      <c r="C189" s="168" t="s">
        <v>152</v>
      </c>
      <c r="D189" s="51" t="s">
        <v>49</v>
      </c>
      <c r="E189" s="169">
        <v>12840</v>
      </c>
      <c r="F189" s="170">
        <f t="shared" si="15"/>
        <v>25680</v>
      </c>
      <c r="G189" s="170">
        <f t="shared" si="17"/>
        <v>14630</v>
      </c>
      <c r="H189" s="211" t="s">
        <v>145</v>
      </c>
      <c r="I189" s="113">
        <v>479.4</v>
      </c>
      <c r="J189" s="368">
        <f t="shared" si="20"/>
        <v>9.9874999999999992E-2</v>
      </c>
      <c r="K189" s="114">
        <f t="shared" si="21"/>
        <v>5471</v>
      </c>
      <c r="L189" s="212" cm="1">
        <f t="array" ref="L189">TRUNC(
  IF(ISNUMBER(SEARCH("대구경 인정서",$O189)),
    _xlfn.LET(
      _xlpm.size, VALUE(SUBSTITUTE(MID($C189, FIND("_",$C189, LEN($C189)-5)+1, LEN($C189)), "A","")),
      _xlpm.base_val, _xlfn.IFS(_xlpm.size&lt;=50, 1/6, _xlpm.size&lt;=100, 1/4, _xlpm.size&lt;=150, 1/3, _xlpm.size&lt;=200, 1/2, TRUE, 0),
      IF(ISNUMBER(SEARCH("벽체", $C189)), _xlpm.base_val * 2, _xlpm.base_val)
    ),
  0),
2)</f>
        <v>0.5</v>
      </c>
      <c r="M189" s="213">
        <f>FLOOR($L189 * $G$262,1)</f>
        <v>2160</v>
      </c>
      <c r="N189" s="450" t="s">
        <v>443</v>
      </c>
      <c r="O189" s="568" t="s">
        <v>178</v>
      </c>
      <c r="P189" s="569"/>
      <c r="Q189" s="12" t="str">
        <f t="shared" si="16"/>
        <v>벽체_SU|벽체_SU_75A|150A</v>
      </c>
      <c r="S189" s="104"/>
      <c r="T189" s="107"/>
      <c r="U189" s="107"/>
    </row>
    <row r="190" spans="1:21">
      <c r="A190" s="494">
        <f t="shared" si="18"/>
        <v>182</v>
      </c>
      <c r="B190" s="477" t="s">
        <v>143</v>
      </c>
      <c r="C190" s="168" t="s">
        <v>153</v>
      </c>
      <c r="D190" s="51" t="s">
        <v>47</v>
      </c>
      <c r="E190" s="169">
        <v>6490</v>
      </c>
      <c r="F190" s="170">
        <f t="shared" si="15"/>
        <v>12980</v>
      </c>
      <c r="G190" s="170">
        <f t="shared" si="17"/>
        <v>7390</v>
      </c>
      <c r="H190" s="211" t="s">
        <v>103</v>
      </c>
      <c r="I190" s="113">
        <v>558.6</v>
      </c>
      <c r="J190" s="368">
        <f t="shared" si="20"/>
        <v>7.7583333333333337E-2</v>
      </c>
      <c r="K190" s="114">
        <f t="shared" si="21"/>
        <v>2125</v>
      </c>
      <c r="L190" s="212"/>
      <c r="M190" s="213"/>
      <c r="N190" s="452" t="s">
        <v>442</v>
      </c>
      <c r="O190" s="566" t="s">
        <v>176</v>
      </c>
      <c r="P190" s="567"/>
      <c r="Q190" s="12" t="str">
        <f t="shared" si="16"/>
        <v>벽체_SU|벽체_SU_80A|100A</v>
      </c>
      <c r="S190" s="104"/>
      <c r="T190" s="107"/>
      <c r="U190" s="107"/>
    </row>
    <row r="191" spans="1:21">
      <c r="A191" s="494">
        <f t="shared" si="18"/>
        <v>183</v>
      </c>
      <c r="B191" s="477" t="s">
        <v>143</v>
      </c>
      <c r="C191" s="168" t="s">
        <v>153</v>
      </c>
      <c r="D191" s="51" t="s">
        <v>48</v>
      </c>
      <c r="E191" s="169">
        <v>7940</v>
      </c>
      <c r="F191" s="170">
        <f t="shared" si="15"/>
        <v>15880</v>
      </c>
      <c r="G191" s="170">
        <f t="shared" si="17"/>
        <v>9050</v>
      </c>
      <c r="H191" s="211" t="s">
        <v>103</v>
      </c>
      <c r="I191" s="113">
        <v>558.6</v>
      </c>
      <c r="J191" s="368">
        <f t="shared" si="20"/>
        <v>7.7583333333333337E-2</v>
      </c>
      <c r="K191" s="114">
        <f t="shared" si="21"/>
        <v>2125</v>
      </c>
      <c r="L191" s="212"/>
      <c r="M191" s="213"/>
      <c r="N191" s="452" t="s">
        <v>442</v>
      </c>
      <c r="O191" s="566" t="s">
        <v>176</v>
      </c>
      <c r="P191" s="567"/>
      <c r="Q191" s="12" t="str">
        <f t="shared" si="16"/>
        <v>벽체_SU|벽체_SU_80A|125A</v>
      </c>
      <c r="S191" s="104"/>
      <c r="T191" s="107"/>
      <c r="U191" s="107"/>
    </row>
    <row r="192" spans="1:21" ht="17.100000000000001" customHeight="1">
      <c r="A192" s="494">
        <f t="shared" si="18"/>
        <v>184</v>
      </c>
      <c r="B192" s="477" t="s">
        <v>143</v>
      </c>
      <c r="C192" s="168" t="s">
        <v>153</v>
      </c>
      <c r="D192" s="51" t="s">
        <v>159</v>
      </c>
      <c r="E192" s="169">
        <v>11790</v>
      </c>
      <c r="F192" s="170">
        <f t="shared" si="15"/>
        <v>23580</v>
      </c>
      <c r="G192" s="170">
        <f t="shared" si="17"/>
        <v>13440</v>
      </c>
      <c r="H192" s="211" t="s">
        <v>145</v>
      </c>
      <c r="I192" s="113">
        <v>558.6</v>
      </c>
      <c r="J192" s="368">
        <f t="shared" si="20"/>
        <v>0.11637500000000001</v>
      </c>
      <c r="K192" s="114">
        <f t="shared" si="21"/>
        <v>6375</v>
      </c>
      <c r="L192" s="212" cm="1">
        <f t="array" ref="L192">TRUNC(
  IF(ISNUMBER(SEARCH("대구경 인정서",$O192)),
    _xlfn.LET(
      _xlpm.size, VALUE(SUBSTITUTE(MID($C192, FIND("_",$C192, LEN($C192)-5)+1, LEN($C192)), "A","")),
      _xlpm.base_val, _xlfn.IFS(_xlpm.size&lt;=50, 1/6, _xlpm.size&lt;=100, 1/4, _xlpm.size&lt;=150, 1/3, _xlpm.size&lt;=200, 1/2, TRUE, 0),
      IF(ISNUMBER(SEARCH("벽체", $C192)), _xlpm.base_val * 2, _xlpm.base_val)
    ),
  0),
2)</f>
        <v>0.5</v>
      </c>
      <c r="M192" s="213">
        <f>FLOOR($L192 * $G$262,1)</f>
        <v>2160</v>
      </c>
      <c r="N192" s="450" t="s">
        <v>443</v>
      </c>
      <c r="O192" s="568" t="s">
        <v>178</v>
      </c>
      <c r="P192" s="569"/>
      <c r="Q192" s="12" t="str">
        <f t="shared" si="16"/>
        <v>벽체_SU|벽체_SU_80A|125A(개구부 간격 33.85~51.1mm)</v>
      </c>
      <c r="S192" s="104"/>
      <c r="T192" s="107"/>
      <c r="U192" s="107"/>
    </row>
    <row r="193" spans="1:21">
      <c r="A193" s="494">
        <f t="shared" si="18"/>
        <v>185</v>
      </c>
      <c r="B193" s="477" t="s">
        <v>143</v>
      </c>
      <c r="C193" s="168" t="s">
        <v>153</v>
      </c>
      <c r="D193" s="51" t="s">
        <v>49</v>
      </c>
      <c r="E193" s="169">
        <v>13080</v>
      </c>
      <c r="F193" s="170">
        <f t="shared" si="15"/>
        <v>26160</v>
      </c>
      <c r="G193" s="170">
        <f t="shared" si="17"/>
        <v>14910</v>
      </c>
      <c r="H193" s="211" t="s">
        <v>145</v>
      </c>
      <c r="I193" s="113">
        <v>558.6</v>
      </c>
      <c r="J193" s="368">
        <f t="shared" si="20"/>
        <v>0.11637500000000001</v>
      </c>
      <c r="K193" s="114">
        <f t="shared" si="21"/>
        <v>6375</v>
      </c>
      <c r="L193" s="212" cm="1">
        <f t="array" ref="L193">TRUNC(
  IF(ISNUMBER(SEARCH("대구경 인정서",$O193)),
    _xlfn.LET(
      _xlpm.size, VALUE(SUBSTITUTE(MID($C193, FIND("_",$C193, LEN($C193)-5)+1, LEN($C193)), "A","")),
      _xlpm.base_val, _xlfn.IFS(_xlpm.size&lt;=50, 1/6, _xlpm.size&lt;=100, 1/4, _xlpm.size&lt;=150, 1/3, _xlpm.size&lt;=200, 1/2, TRUE, 0),
      IF(ISNUMBER(SEARCH("벽체", $C193)), _xlpm.base_val * 2, _xlpm.base_val)
    ),
  0),
2)</f>
        <v>0.5</v>
      </c>
      <c r="M193" s="213">
        <f>FLOOR($L193 * $G$262,1)</f>
        <v>2160</v>
      </c>
      <c r="N193" s="450" t="s">
        <v>443</v>
      </c>
      <c r="O193" s="568" t="s">
        <v>178</v>
      </c>
      <c r="P193" s="569"/>
      <c r="Q193" s="12" t="str">
        <f t="shared" si="16"/>
        <v>벽체_SU|벽체_SU_80A|150A</v>
      </c>
      <c r="S193" s="104"/>
      <c r="T193" s="107"/>
      <c r="U193" s="107"/>
    </row>
    <row r="194" spans="1:21">
      <c r="A194" s="494">
        <f t="shared" si="18"/>
        <v>186</v>
      </c>
      <c r="B194" s="477" t="s">
        <v>143</v>
      </c>
      <c r="C194" s="168" t="s">
        <v>154</v>
      </c>
      <c r="D194" s="51" t="s">
        <v>48</v>
      </c>
      <c r="E194" s="169">
        <v>7790</v>
      </c>
      <c r="F194" s="170">
        <f t="shared" si="15"/>
        <v>15580</v>
      </c>
      <c r="G194" s="170">
        <f t="shared" si="17"/>
        <v>8880</v>
      </c>
      <c r="H194" s="211" t="s">
        <v>103</v>
      </c>
      <c r="I194" s="113">
        <v>718.2</v>
      </c>
      <c r="J194" s="368">
        <f t="shared" si="20"/>
        <v>9.9750000000000005E-2</v>
      </c>
      <c r="K194" s="114">
        <f t="shared" si="21"/>
        <v>2732</v>
      </c>
      <c r="L194" s="212"/>
      <c r="M194" s="213"/>
      <c r="N194" s="452" t="s">
        <v>442</v>
      </c>
      <c r="O194" s="566" t="s">
        <v>176</v>
      </c>
      <c r="P194" s="567"/>
      <c r="Q194" s="12" t="str">
        <f t="shared" si="16"/>
        <v>벽체_SU|벽체_SU_100A|125A</v>
      </c>
      <c r="S194" s="104"/>
      <c r="T194" s="107"/>
      <c r="U194" s="107"/>
    </row>
    <row r="195" spans="1:21" ht="17.100000000000001" customHeight="1" thickBot="1">
      <c r="A195" s="495">
        <f t="shared" si="18"/>
        <v>187</v>
      </c>
      <c r="B195" s="477" t="s">
        <v>143</v>
      </c>
      <c r="C195" s="168" t="s">
        <v>154</v>
      </c>
      <c r="D195" s="51" t="s">
        <v>49</v>
      </c>
      <c r="E195" s="169">
        <v>9030</v>
      </c>
      <c r="F195" s="170">
        <f t="shared" si="15"/>
        <v>18060</v>
      </c>
      <c r="G195" s="250">
        <f t="shared" si="17"/>
        <v>10290</v>
      </c>
      <c r="H195" s="146" t="s">
        <v>103</v>
      </c>
      <c r="I195" s="251">
        <v>718.2</v>
      </c>
      <c r="J195" s="371">
        <f t="shared" si="20"/>
        <v>9.9750000000000005E-2</v>
      </c>
      <c r="K195" s="251">
        <f t="shared" si="21"/>
        <v>2732</v>
      </c>
      <c r="L195" s="252"/>
      <c r="M195" s="253"/>
      <c r="N195" s="457" t="s">
        <v>442</v>
      </c>
      <c r="O195" s="611" t="s">
        <v>176</v>
      </c>
      <c r="P195" s="612"/>
      <c r="Q195" s="12" t="str">
        <f t="shared" si="16"/>
        <v>벽체_SU|벽체_SU_100A|150A</v>
      </c>
      <c r="S195" s="104"/>
      <c r="T195" s="107"/>
      <c r="U195" s="107"/>
    </row>
    <row r="196" spans="1:21">
      <c r="A196" s="498">
        <f t="shared" si="18"/>
        <v>188</v>
      </c>
      <c r="B196" s="481" t="s">
        <v>175</v>
      </c>
      <c r="C196" s="225" t="s">
        <v>160</v>
      </c>
      <c r="D196" s="95" t="s">
        <v>45</v>
      </c>
      <c r="E196" s="208">
        <v>3990</v>
      </c>
      <c r="F196" s="208">
        <f t="shared" si="15"/>
        <v>7980</v>
      </c>
      <c r="G196" s="246">
        <f t="shared" si="17"/>
        <v>4540</v>
      </c>
      <c r="H196" s="247" t="s">
        <v>103</v>
      </c>
      <c r="I196" s="233">
        <v>133.80000000000001</v>
      </c>
      <c r="J196" s="372">
        <f t="shared" si="20"/>
        <v>1.8583333333333334E-2</v>
      </c>
      <c r="K196" s="233">
        <f t="shared" si="21"/>
        <v>508</v>
      </c>
      <c r="L196" s="248"/>
      <c r="M196" s="249"/>
      <c r="N196" s="458" t="s">
        <v>442</v>
      </c>
      <c r="O196" s="599" t="s">
        <v>176</v>
      </c>
      <c r="P196" s="600"/>
      <c r="Q196" s="12" t="str">
        <f t="shared" si="16"/>
        <v>벽체_강관|벽체_강관_15A|50A</v>
      </c>
      <c r="T196" s="107"/>
    </row>
    <row r="197" spans="1:21">
      <c r="A197" s="494">
        <f t="shared" si="18"/>
        <v>189</v>
      </c>
      <c r="B197" s="482" t="s">
        <v>174</v>
      </c>
      <c r="C197" s="226" t="s">
        <v>160</v>
      </c>
      <c r="D197" s="98" t="s">
        <v>46</v>
      </c>
      <c r="E197" s="227">
        <v>7480</v>
      </c>
      <c r="F197" s="227">
        <f t="shared" si="15"/>
        <v>14960</v>
      </c>
      <c r="G197" s="227">
        <f t="shared" si="17"/>
        <v>8520</v>
      </c>
      <c r="H197" s="99" t="s">
        <v>145</v>
      </c>
      <c r="I197" s="139">
        <v>133.80000000000001</v>
      </c>
      <c r="J197" s="367">
        <f t="shared" si="20"/>
        <v>2.7875000000000004E-2</v>
      </c>
      <c r="K197" s="139">
        <f t="shared" ref="K197:K233" si="22">FLOOR(($I197 / RIGHT($H197, LEN($H197) - FIND("@", SUBSTITUTE($H197, "*", "@", 2)))) * VLOOKUP($H197, $C$255:$G$259, 5, FALSE), 1)</f>
        <v>1526</v>
      </c>
      <c r="L197" s="140" cm="1">
        <f t="array" ref="L197">TRUNC(
  IF(ISNUMBER(SEARCH("대구경 인정서",$O197)),
    _xlfn.LET(
      _xlpm.size, VALUE(SUBSTITUTE(MID($C197, FIND("_",$C197, LEN($C197)-5)+1, LEN($C197)), "A","")),
      _xlpm.base_val, _xlfn.IFS(_xlpm.size&lt;=50, 1/6, _xlpm.size&lt;=100, 1/4, _xlpm.size&lt;=150, 1/3, _xlpm.size&lt;=200, 1/2, TRUE, 0),
      IF(ISNUMBER(SEARCH("벽체", $C197)), _xlpm.base_val * 2, _xlpm.base_val)
    ),
  0),
2)</f>
        <v>0.33</v>
      </c>
      <c r="M197" s="141">
        <f>FLOOR($L197 * $G$262,1)</f>
        <v>1425</v>
      </c>
      <c r="N197" s="454" t="s">
        <v>443</v>
      </c>
      <c r="O197" s="582" t="s">
        <v>178</v>
      </c>
      <c r="P197" s="583"/>
      <c r="Q197" s="12" t="str">
        <f t="shared" si="16"/>
        <v>벽체_강관|벽체_강관_15A|75A</v>
      </c>
      <c r="T197" s="107"/>
    </row>
    <row r="198" spans="1:21">
      <c r="A198" s="494">
        <f t="shared" si="18"/>
        <v>190</v>
      </c>
      <c r="B198" s="482" t="s">
        <v>174</v>
      </c>
      <c r="C198" s="226" t="s">
        <v>268</v>
      </c>
      <c r="D198" s="98" t="s">
        <v>45</v>
      </c>
      <c r="E198" s="227">
        <v>4050</v>
      </c>
      <c r="F198" s="227">
        <f t="shared" si="15"/>
        <v>8100</v>
      </c>
      <c r="G198" s="227">
        <f t="shared" si="17"/>
        <v>4610</v>
      </c>
      <c r="H198" s="99" t="s">
        <v>103</v>
      </c>
      <c r="I198" s="139">
        <v>167.8</v>
      </c>
      <c r="J198" s="367">
        <f t="shared" si="20"/>
        <v>2.3305555555555559E-2</v>
      </c>
      <c r="K198" s="139">
        <f t="shared" si="22"/>
        <v>638</v>
      </c>
      <c r="L198" s="140"/>
      <c r="M198" s="141"/>
      <c r="N198" s="459" t="s">
        <v>442</v>
      </c>
      <c r="O198" s="605" t="s">
        <v>176</v>
      </c>
      <c r="P198" s="606"/>
      <c r="Q198" s="12" t="str">
        <f t="shared" si="16"/>
        <v>벽체_강관|벽체_강관_20A|50A</v>
      </c>
      <c r="T198" s="107"/>
    </row>
    <row r="199" spans="1:21">
      <c r="A199" s="494">
        <f t="shared" si="18"/>
        <v>191</v>
      </c>
      <c r="B199" s="482" t="s">
        <v>174</v>
      </c>
      <c r="C199" s="42" t="s">
        <v>66</v>
      </c>
      <c r="D199" s="36" t="s">
        <v>46</v>
      </c>
      <c r="E199" s="228">
        <v>7650</v>
      </c>
      <c r="F199" s="229">
        <f t="shared" si="15"/>
        <v>15300</v>
      </c>
      <c r="G199" s="229">
        <f t="shared" si="17"/>
        <v>8720</v>
      </c>
      <c r="H199" s="99" t="s">
        <v>145</v>
      </c>
      <c r="I199" s="142">
        <v>167.8</v>
      </c>
      <c r="J199" s="367">
        <f t="shared" si="20"/>
        <v>3.4958333333333334E-2</v>
      </c>
      <c r="K199" s="139">
        <f t="shared" si="22"/>
        <v>1915</v>
      </c>
      <c r="L199" s="140" cm="1">
        <f t="array" ref="L199">TRUNC(
  IF(ISNUMBER(SEARCH("대구경 인정서",$O199)),
    _xlfn.LET(
      _xlpm.size, VALUE(SUBSTITUTE(MID($C199, FIND("_",$C199, LEN($C199)-5)+1, LEN($C199)), "A","")),
      _xlpm.base_val, _xlfn.IFS(_xlpm.size&lt;=50, 1/6, _xlpm.size&lt;=100, 1/4, _xlpm.size&lt;=150, 1/3, _xlpm.size&lt;=200, 1/2, TRUE, 0),
      IF(ISNUMBER(SEARCH("벽체", $C199)), _xlpm.base_val * 2, _xlpm.base_val)
    ),
  0),
2)</f>
        <v>0.33</v>
      </c>
      <c r="M199" s="141">
        <f>FLOOR($L199 * $G$262,1)</f>
        <v>1425</v>
      </c>
      <c r="N199" s="454" t="s">
        <v>443</v>
      </c>
      <c r="O199" s="582" t="s">
        <v>178</v>
      </c>
      <c r="P199" s="583"/>
      <c r="Q199" s="12" t="str">
        <f t="shared" si="16"/>
        <v>벽체_강관|벽체_강관_20A|75A</v>
      </c>
      <c r="T199" s="107"/>
    </row>
    <row r="200" spans="1:21" ht="17.100000000000001" customHeight="1">
      <c r="A200" s="494">
        <f t="shared" si="18"/>
        <v>192</v>
      </c>
      <c r="B200" s="482" t="s">
        <v>174</v>
      </c>
      <c r="C200" s="42" t="s">
        <v>66</v>
      </c>
      <c r="D200" s="36" t="s">
        <v>171</v>
      </c>
      <c r="E200" s="228">
        <v>8490</v>
      </c>
      <c r="F200" s="229">
        <f t="shared" ref="F200:F254" si="23">E200*$C$4</f>
        <v>16980</v>
      </c>
      <c r="G200" s="229">
        <f t="shared" si="17"/>
        <v>9670</v>
      </c>
      <c r="H200" s="99" t="s">
        <v>145</v>
      </c>
      <c r="I200" s="142">
        <v>167.8</v>
      </c>
      <c r="J200" s="367">
        <f t="shared" si="20"/>
        <v>3.4958333333333334E-2</v>
      </c>
      <c r="K200" s="139">
        <f t="shared" si="22"/>
        <v>1915</v>
      </c>
      <c r="L200" s="140" cm="1">
        <f t="array" ref="L200">TRUNC(
  IF(ISNUMBER(SEARCH("대구경 인정서",$O200)),
    _xlfn.LET(
      _xlpm.size, VALUE(SUBSTITUTE(MID($C200, FIND("_",$C200, LEN($C200)-5)+1, LEN($C200)), "A","")),
      _xlpm.base_val, _xlfn.IFS(_xlpm.size&lt;=50, 1/6, _xlpm.size&lt;=100, 1/4, _xlpm.size&lt;=150, 1/3, _xlpm.size&lt;=200, 1/2, TRUE, 0),
      IF(ISNUMBER(SEARCH("벽체", $C200)), _xlpm.base_val * 2, _xlpm.base_val)
    ),
  0),
2)</f>
        <v>0.33</v>
      </c>
      <c r="M200" s="141">
        <f>FLOOR($L200 * $G$262,1)</f>
        <v>1425</v>
      </c>
      <c r="N200" s="454" t="s">
        <v>443</v>
      </c>
      <c r="O200" s="582" t="s">
        <v>178</v>
      </c>
      <c r="P200" s="583"/>
      <c r="Q200" s="12" t="str">
        <f t="shared" ref="Q200:Q254" si="24">B200&amp;"|"&amp;C200&amp;"|"&amp;D200</f>
        <v>벽체_강관|벽체_강관_20A|100A(외경129.4mm 이하)</v>
      </c>
      <c r="T200" s="107"/>
    </row>
    <row r="201" spans="1:21">
      <c r="A201" s="494">
        <f t="shared" si="18"/>
        <v>193</v>
      </c>
      <c r="B201" s="482" t="s">
        <v>174</v>
      </c>
      <c r="C201" s="42" t="s">
        <v>161</v>
      </c>
      <c r="D201" s="36" t="s">
        <v>45</v>
      </c>
      <c r="E201" s="228">
        <v>4150</v>
      </c>
      <c r="F201" s="229">
        <f t="shared" si="23"/>
        <v>8300</v>
      </c>
      <c r="G201" s="229">
        <f t="shared" ref="G201:G254" si="25">FLOOR(F201*$H$4,10)</f>
        <v>4730</v>
      </c>
      <c r="H201" s="99" t="s">
        <v>103</v>
      </c>
      <c r="I201" s="142">
        <v>209.8</v>
      </c>
      <c r="J201" s="367">
        <f t="shared" si="20"/>
        <v>2.9138888888888891E-2</v>
      </c>
      <c r="K201" s="139">
        <f t="shared" si="22"/>
        <v>798</v>
      </c>
      <c r="L201" s="140"/>
      <c r="M201" s="141"/>
      <c r="N201" s="459" t="s">
        <v>442</v>
      </c>
      <c r="O201" s="605" t="s">
        <v>177</v>
      </c>
      <c r="P201" s="606"/>
      <c r="Q201" s="12" t="str">
        <f t="shared" si="24"/>
        <v>벽체_강관|벽체_강관_25A|50A</v>
      </c>
      <c r="T201" s="107"/>
    </row>
    <row r="202" spans="1:21">
      <c r="A202" s="494">
        <f t="shared" ref="A202:A267" si="26">A201+1</f>
        <v>194</v>
      </c>
      <c r="B202" s="482" t="s">
        <v>174</v>
      </c>
      <c r="C202" s="42" t="s">
        <v>161</v>
      </c>
      <c r="D202" s="36" t="s">
        <v>46</v>
      </c>
      <c r="E202" s="228">
        <v>5580</v>
      </c>
      <c r="F202" s="229">
        <f t="shared" si="23"/>
        <v>11160</v>
      </c>
      <c r="G202" s="229">
        <f t="shared" si="25"/>
        <v>6360</v>
      </c>
      <c r="H202" s="99" t="s">
        <v>103</v>
      </c>
      <c r="I202" s="142">
        <v>209.8</v>
      </c>
      <c r="J202" s="367">
        <f t="shared" si="20"/>
        <v>2.9138888888888891E-2</v>
      </c>
      <c r="K202" s="139">
        <f t="shared" si="22"/>
        <v>798</v>
      </c>
      <c r="L202" s="140"/>
      <c r="M202" s="141"/>
      <c r="N202" s="459" t="s">
        <v>442</v>
      </c>
      <c r="O202" s="605" t="s">
        <v>176</v>
      </c>
      <c r="P202" s="606"/>
      <c r="Q202" s="12" t="str">
        <f t="shared" si="24"/>
        <v>벽체_강관|벽체_강관_25A|75A</v>
      </c>
      <c r="T202" s="107"/>
    </row>
    <row r="203" spans="1:21">
      <c r="A203" s="494">
        <f t="shared" si="26"/>
        <v>195</v>
      </c>
      <c r="B203" s="482" t="s">
        <v>174</v>
      </c>
      <c r="C203" s="42" t="s">
        <v>161</v>
      </c>
      <c r="D203" s="36" t="s">
        <v>155</v>
      </c>
      <c r="E203" s="228">
        <v>7920</v>
      </c>
      <c r="F203" s="229">
        <f t="shared" si="23"/>
        <v>15840</v>
      </c>
      <c r="G203" s="229">
        <f t="shared" si="25"/>
        <v>9020</v>
      </c>
      <c r="H203" s="99" t="s">
        <v>145</v>
      </c>
      <c r="I203" s="142">
        <v>209.8</v>
      </c>
      <c r="J203" s="367">
        <f t="shared" si="20"/>
        <v>4.3708333333333335E-2</v>
      </c>
      <c r="K203" s="139">
        <f t="shared" si="22"/>
        <v>2394</v>
      </c>
      <c r="L203" s="140" cm="1">
        <f t="array" ref="L203">TRUNC(
  IF(ISNUMBER(SEARCH("대구경 인정서",$O203)),
    _xlfn.LET(
      _xlpm.size, VALUE(SUBSTITUTE(MID($C203, FIND("_",$C203, LEN($C203)-5)+1, LEN($C203)), "A","")),
      _xlpm.base_val, _xlfn.IFS(_xlpm.size&lt;=50, 1/6, _xlpm.size&lt;=100, 1/4, _xlpm.size&lt;=150, 1/3, _xlpm.size&lt;=200, 1/2, TRUE, 0),
      IF(ISNUMBER(SEARCH("벽체", $C203)), _xlpm.base_val * 2, _xlpm.base_val)
    ),
  0),
2)</f>
        <v>0.33</v>
      </c>
      <c r="M203" s="141">
        <f>FLOOR($L203 * $G$262,1)</f>
        <v>1425</v>
      </c>
      <c r="N203" s="454" t="s">
        <v>443</v>
      </c>
      <c r="O203" s="582" t="s">
        <v>178</v>
      </c>
      <c r="P203" s="583"/>
      <c r="Q203" s="12" t="str">
        <f t="shared" si="24"/>
        <v>벽체_강관|벽체_강관_25A|75A(개구부 간격 33.85~51.1mm)</v>
      </c>
      <c r="T203" s="107"/>
    </row>
    <row r="204" spans="1:21">
      <c r="A204" s="494">
        <f t="shared" si="26"/>
        <v>196</v>
      </c>
      <c r="B204" s="482" t="s">
        <v>174</v>
      </c>
      <c r="C204" s="42" t="s">
        <v>161</v>
      </c>
      <c r="D204" s="36" t="s">
        <v>47</v>
      </c>
      <c r="E204" s="228">
        <v>8680</v>
      </c>
      <c r="F204" s="229">
        <f t="shared" si="23"/>
        <v>17360</v>
      </c>
      <c r="G204" s="229">
        <f t="shared" si="25"/>
        <v>9890</v>
      </c>
      <c r="H204" s="99" t="s">
        <v>145</v>
      </c>
      <c r="I204" s="142">
        <v>209.8</v>
      </c>
      <c r="J204" s="367">
        <f t="shared" si="20"/>
        <v>4.3708333333333335E-2</v>
      </c>
      <c r="K204" s="139">
        <f t="shared" si="22"/>
        <v>2394</v>
      </c>
      <c r="L204" s="140" cm="1">
        <f t="array" ref="L204">TRUNC(
  IF(ISNUMBER(SEARCH("대구경 인정서",$O204)),
    _xlfn.LET(
      _xlpm.size, VALUE(SUBSTITUTE(MID($C204, FIND("_",$C204, LEN($C204)-5)+1, LEN($C204)), "A","")),
      _xlpm.base_val, _xlfn.IFS(_xlpm.size&lt;=50, 1/6, _xlpm.size&lt;=100, 1/4, _xlpm.size&lt;=150, 1/3, _xlpm.size&lt;=200, 1/2, TRUE, 0),
      IF(ISNUMBER(SEARCH("벽체", $C204)), _xlpm.base_val * 2, _xlpm.base_val)
    ),
  0),
2)</f>
        <v>0.33</v>
      </c>
      <c r="M204" s="141">
        <f>FLOOR($L204 * $G$262,1)</f>
        <v>1425</v>
      </c>
      <c r="N204" s="454" t="s">
        <v>443</v>
      </c>
      <c r="O204" s="582" t="s">
        <v>178</v>
      </c>
      <c r="P204" s="583"/>
      <c r="Q204" s="12" t="str">
        <f t="shared" si="24"/>
        <v>벽체_강관|벽체_강관_25A|100A</v>
      </c>
      <c r="T204" s="107"/>
    </row>
    <row r="205" spans="1:21">
      <c r="A205" s="494">
        <f t="shared" si="26"/>
        <v>197</v>
      </c>
      <c r="B205" s="482" t="s">
        <v>174</v>
      </c>
      <c r="C205" s="42" t="s">
        <v>162</v>
      </c>
      <c r="D205" s="36" t="s">
        <v>45</v>
      </c>
      <c r="E205" s="228">
        <v>4270</v>
      </c>
      <c r="F205" s="229">
        <f t="shared" si="23"/>
        <v>8540</v>
      </c>
      <c r="G205" s="229">
        <f t="shared" si="25"/>
        <v>4860</v>
      </c>
      <c r="H205" s="99" t="s">
        <v>103</v>
      </c>
      <c r="I205" s="142">
        <v>268.2</v>
      </c>
      <c r="J205" s="367">
        <f t="shared" si="20"/>
        <v>3.7249999999999998E-2</v>
      </c>
      <c r="K205" s="139">
        <f t="shared" si="22"/>
        <v>1020</v>
      </c>
      <c r="L205" s="140"/>
      <c r="M205" s="141"/>
      <c r="N205" s="459" t="s">
        <v>442</v>
      </c>
      <c r="O205" s="605" t="s">
        <v>176</v>
      </c>
      <c r="P205" s="606"/>
      <c r="Q205" s="12" t="str">
        <f t="shared" si="24"/>
        <v>벽체_강관|벽체_강관_32A|50A</v>
      </c>
      <c r="T205" s="107"/>
    </row>
    <row r="206" spans="1:21">
      <c r="A206" s="494">
        <f t="shared" si="26"/>
        <v>198</v>
      </c>
      <c r="B206" s="482" t="s">
        <v>174</v>
      </c>
      <c r="C206" s="42" t="s">
        <v>162</v>
      </c>
      <c r="D206" s="36" t="s">
        <v>156</v>
      </c>
      <c r="E206" s="228">
        <v>5690</v>
      </c>
      <c r="F206" s="229">
        <f t="shared" si="23"/>
        <v>11380</v>
      </c>
      <c r="G206" s="229">
        <f t="shared" si="25"/>
        <v>6480</v>
      </c>
      <c r="H206" s="99" t="s">
        <v>103</v>
      </c>
      <c r="I206" s="142">
        <v>268.2</v>
      </c>
      <c r="J206" s="367">
        <f t="shared" si="20"/>
        <v>3.7249999999999998E-2</v>
      </c>
      <c r="K206" s="139">
        <f t="shared" si="22"/>
        <v>1020</v>
      </c>
      <c r="L206" s="140"/>
      <c r="M206" s="141"/>
      <c r="N206" s="459" t="s">
        <v>442</v>
      </c>
      <c r="O206" s="605" t="s">
        <v>176</v>
      </c>
      <c r="P206" s="606"/>
      <c r="Q206" s="12" t="str">
        <f t="shared" si="24"/>
        <v>벽체_강관|벽체_강관_32A|75A(외경110.4mm 이하)</v>
      </c>
      <c r="T206" s="107"/>
    </row>
    <row r="207" spans="1:21">
      <c r="A207" s="494">
        <f t="shared" si="26"/>
        <v>199</v>
      </c>
      <c r="B207" s="482" t="s">
        <v>174</v>
      </c>
      <c r="C207" s="42" t="s">
        <v>162</v>
      </c>
      <c r="D207" s="36" t="s">
        <v>155</v>
      </c>
      <c r="E207" s="228">
        <v>8280</v>
      </c>
      <c r="F207" s="229">
        <f t="shared" si="23"/>
        <v>16560</v>
      </c>
      <c r="G207" s="229">
        <f t="shared" si="25"/>
        <v>9430</v>
      </c>
      <c r="H207" s="99" t="s">
        <v>145</v>
      </c>
      <c r="I207" s="142">
        <v>268.2</v>
      </c>
      <c r="J207" s="367">
        <f t="shared" si="20"/>
        <v>5.5875000000000001E-2</v>
      </c>
      <c r="K207" s="139">
        <f t="shared" si="22"/>
        <v>3060</v>
      </c>
      <c r="L207" s="140" cm="1">
        <f t="array" ref="L207">TRUNC(
  IF(ISNUMBER(SEARCH("대구경 인정서",$O207)),
    _xlfn.LET(
      _xlpm.size, VALUE(SUBSTITUTE(MID($C207, FIND("_",$C207, LEN($C207)-5)+1, LEN($C207)), "A","")),
      _xlpm.base_val, _xlfn.IFS(_xlpm.size&lt;=50, 1/6, _xlpm.size&lt;=100, 1/4, _xlpm.size&lt;=150, 1/3, _xlpm.size&lt;=200, 1/2, TRUE, 0),
      IF(ISNUMBER(SEARCH("벽체", $C207)), _xlpm.base_val * 2, _xlpm.base_val)
    ),
  0),
2)</f>
        <v>0.33</v>
      </c>
      <c r="M207" s="141">
        <f>FLOOR($L207 * $G$262,1)</f>
        <v>1425</v>
      </c>
      <c r="N207" s="454" t="s">
        <v>443</v>
      </c>
      <c r="O207" s="582" t="s">
        <v>178</v>
      </c>
      <c r="P207" s="583"/>
      <c r="Q207" s="12" t="str">
        <f t="shared" si="24"/>
        <v>벽체_강관|벽체_강관_32A|75A(개구부 간격 33.85~51.1mm)</v>
      </c>
      <c r="T207" s="107"/>
    </row>
    <row r="208" spans="1:21">
      <c r="A208" s="494">
        <f t="shared" si="26"/>
        <v>200</v>
      </c>
      <c r="B208" s="482" t="s">
        <v>174</v>
      </c>
      <c r="C208" s="42" t="s">
        <v>162</v>
      </c>
      <c r="D208" s="36" t="s">
        <v>47</v>
      </c>
      <c r="E208" s="228">
        <v>8990</v>
      </c>
      <c r="F208" s="229">
        <f t="shared" si="23"/>
        <v>17980</v>
      </c>
      <c r="G208" s="229">
        <f t="shared" si="25"/>
        <v>10240</v>
      </c>
      <c r="H208" s="99" t="s">
        <v>145</v>
      </c>
      <c r="I208" s="142">
        <v>268.2</v>
      </c>
      <c r="J208" s="367">
        <f t="shared" si="20"/>
        <v>5.5875000000000001E-2</v>
      </c>
      <c r="K208" s="139">
        <f t="shared" si="22"/>
        <v>3060</v>
      </c>
      <c r="L208" s="140" cm="1">
        <f t="array" ref="L208">TRUNC(
  IF(ISNUMBER(SEARCH("대구경 인정서",$O208)),
    _xlfn.LET(
      _xlpm.size, VALUE(SUBSTITUTE(MID($C208, FIND("_",$C208, LEN($C208)-5)+1, LEN($C208)), "A","")),
      _xlpm.base_val, _xlfn.IFS(_xlpm.size&lt;=50, 1/6, _xlpm.size&lt;=100, 1/4, _xlpm.size&lt;=150, 1/3, _xlpm.size&lt;=200, 1/2, TRUE, 0),
      IF(ISNUMBER(SEARCH("벽체", $C208)), _xlpm.base_val * 2, _xlpm.base_val)
    ),
  0),
2)</f>
        <v>0.33</v>
      </c>
      <c r="M208" s="141">
        <f>FLOOR($L208 * $G$262,1)</f>
        <v>1425</v>
      </c>
      <c r="N208" s="454" t="s">
        <v>443</v>
      </c>
      <c r="O208" s="582" t="s">
        <v>178</v>
      </c>
      <c r="P208" s="583"/>
      <c r="Q208" s="12" t="str">
        <f t="shared" si="24"/>
        <v>벽체_강관|벽체_강관_32A|100A</v>
      </c>
      <c r="T208" s="107"/>
    </row>
    <row r="209" spans="1:20">
      <c r="A209" s="494">
        <f t="shared" si="26"/>
        <v>201</v>
      </c>
      <c r="B209" s="482" t="s">
        <v>174</v>
      </c>
      <c r="C209" s="42" t="s">
        <v>163</v>
      </c>
      <c r="D209" s="36" t="s">
        <v>45</v>
      </c>
      <c r="E209" s="228">
        <v>4370</v>
      </c>
      <c r="F209" s="229">
        <f t="shared" si="23"/>
        <v>8740</v>
      </c>
      <c r="G209" s="229">
        <f t="shared" si="25"/>
        <v>4980</v>
      </c>
      <c r="H209" s="99" t="s">
        <v>103</v>
      </c>
      <c r="I209" s="142">
        <v>305.39999999999998</v>
      </c>
      <c r="J209" s="367">
        <f t="shared" si="20"/>
        <v>4.2416666666666665E-2</v>
      </c>
      <c r="K209" s="139">
        <f t="shared" si="22"/>
        <v>1161</v>
      </c>
      <c r="L209" s="140"/>
      <c r="M209" s="141"/>
      <c r="N209" s="459" t="s">
        <v>442</v>
      </c>
      <c r="O209" s="605" t="s">
        <v>176</v>
      </c>
      <c r="P209" s="606"/>
      <c r="Q209" s="12" t="str">
        <f t="shared" si="24"/>
        <v>벽체_강관|벽체_강관_40A|50A</v>
      </c>
      <c r="T209" s="107"/>
    </row>
    <row r="210" spans="1:20">
      <c r="A210" s="494">
        <f t="shared" si="26"/>
        <v>202</v>
      </c>
      <c r="B210" s="482" t="s">
        <v>174</v>
      </c>
      <c r="C210" s="42" t="s">
        <v>163</v>
      </c>
      <c r="D210" s="36" t="s">
        <v>46</v>
      </c>
      <c r="E210" s="228">
        <v>5750</v>
      </c>
      <c r="F210" s="229">
        <f t="shared" si="23"/>
        <v>11500</v>
      </c>
      <c r="G210" s="229">
        <f t="shared" si="25"/>
        <v>6550</v>
      </c>
      <c r="H210" s="99" t="s">
        <v>103</v>
      </c>
      <c r="I210" s="142">
        <v>305.39999999999998</v>
      </c>
      <c r="J210" s="367">
        <f t="shared" si="20"/>
        <v>4.2416666666666665E-2</v>
      </c>
      <c r="K210" s="139">
        <f t="shared" si="22"/>
        <v>1161</v>
      </c>
      <c r="L210" s="140"/>
      <c r="M210" s="141"/>
      <c r="N210" s="459" t="s">
        <v>442</v>
      </c>
      <c r="O210" s="605" t="s">
        <v>176</v>
      </c>
      <c r="P210" s="606"/>
      <c r="Q210" s="12" t="str">
        <f t="shared" si="24"/>
        <v>벽체_강관|벽체_강관_40A|75A</v>
      </c>
      <c r="T210" s="107"/>
    </row>
    <row r="211" spans="1:20" ht="17.100000000000001" customHeight="1">
      <c r="A211" s="494">
        <f t="shared" si="26"/>
        <v>203</v>
      </c>
      <c r="B211" s="482" t="s">
        <v>174</v>
      </c>
      <c r="C211" s="42" t="s">
        <v>163</v>
      </c>
      <c r="D211" s="36" t="s">
        <v>47</v>
      </c>
      <c r="E211" s="228">
        <v>9230</v>
      </c>
      <c r="F211" s="229">
        <f t="shared" si="23"/>
        <v>18460</v>
      </c>
      <c r="G211" s="229">
        <f t="shared" si="25"/>
        <v>10520</v>
      </c>
      <c r="H211" s="99" t="s">
        <v>145</v>
      </c>
      <c r="I211" s="142">
        <v>305.39999999999998</v>
      </c>
      <c r="J211" s="367">
        <f t="shared" si="20"/>
        <v>6.3625000000000001E-2</v>
      </c>
      <c r="K211" s="139">
        <f t="shared" si="22"/>
        <v>3485</v>
      </c>
      <c r="L211" s="140" cm="1">
        <f t="array" ref="L211">TRUNC(
  IF(ISNUMBER(SEARCH("대구경 인정서",$O211)),
    _xlfn.LET(
      _xlpm.size, VALUE(SUBSTITUTE(MID($C211, FIND("_",$C211, LEN($C211)-5)+1, LEN($C211)), "A","")),
      _xlpm.base_val, _xlfn.IFS(_xlpm.size&lt;=50, 1/6, _xlpm.size&lt;=100, 1/4, _xlpm.size&lt;=150, 1/3, _xlpm.size&lt;=200, 1/2, TRUE, 0),
      IF(ISNUMBER(SEARCH("벽체", $C211)), _xlpm.base_val * 2, _xlpm.base_val)
    ),
  0),
2)</f>
        <v>0.33</v>
      </c>
      <c r="M211" s="141">
        <f>FLOOR($L211 * $G$262,1)</f>
        <v>1425</v>
      </c>
      <c r="N211" s="454" t="s">
        <v>443</v>
      </c>
      <c r="O211" s="582" t="s">
        <v>178</v>
      </c>
      <c r="P211" s="583"/>
      <c r="Q211" s="12" t="str">
        <f t="shared" si="24"/>
        <v>벽체_강관|벽체_강관_40A|100A</v>
      </c>
      <c r="T211" s="107"/>
    </row>
    <row r="212" spans="1:20">
      <c r="A212" s="494">
        <f t="shared" si="26"/>
        <v>204</v>
      </c>
      <c r="B212" s="482" t="s">
        <v>174</v>
      </c>
      <c r="C212" s="42" t="s">
        <v>164</v>
      </c>
      <c r="D212" s="36" t="s">
        <v>46</v>
      </c>
      <c r="E212" s="228">
        <v>5770</v>
      </c>
      <c r="F212" s="229">
        <f t="shared" si="23"/>
        <v>11540</v>
      </c>
      <c r="G212" s="229">
        <f t="shared" si="25"/>
        <v>6570</v>
      </c>
      <c r="H212" s="99" t="s">
        <v>103</v>
      </c>
      <c r="I212" s="142">
        <v>380.2</v>
      </c>
      <c r="J212" s="367">
        <f t="shared" si="20"/>
        <v>5.2805555555555557E-2</v>
      </c>
      <c r="K212" s="139">
        <f t="shared" si="22"/>
        <v>1446</v>
      </c>
      <c r="L212" s="140"/>
      <c r="M212" s="141"/>
      <c r="N212" s="459" t="s">
        <v>442</v>
      </c>
      <c r="O212" s="605" t="s">
        <v>176</v>
      </c>
      <c r="P212" s="606"/>
      <c r="Q212" s="12" t="str">
        <f t="shared" si="24"/>
        <v>벽체_강관|벽체_강관_50A|75A</v>
      </c>
      <c r="T212" s="107"/>
    </row>
    <row r="213" spans="1:20">
      <c r="A213" s="494">
        <f t="shared" si="26"/>
        <v>205</v>
      </c>
      <c r="B213" s="482" t="s">
        <v>174</v>
      </c>
      <c r="C213" s="42" t="s">
        <v>164</v>
      </c>
      <c r="D213" s="36" t="s">
        <v>157</v>
      </c>
      <c r="E213" s="228">
        <v>6500</v>
      </c>
      <c r="F213" s="229">
        <f t="shared" si="23"/>
        <v>13000</v>
      </c>
      <c r="G213" s="229">
        <f t="shared" si="25"/>
        <v>7410</v>
      </c>
      <c r="H213" s="99" t="s">
        <v>103</v>
      </c>
      <c r="I213" s="142">
        <v>380.2</v>
      </c>
      <c r="J213" s="367">
        <f t="shared" si="20"/>
        <v>5.2805555555555557E-2</v>
      </c>
      <c r="K213" s="139">
        <f t="shared" si="22"/>
        <v>1446</v>
      </c>
      <c r="L213" s="140"/>
      <c r="M213" s="141"/>
      <c r="N213" s="459" t="s">
        <v>442</v>
      </c>
      <c r="O213" s="605" t="s">
        <v>176</v>
      </c>
      <c r="P213" s="606"/>
      <c r="Q213" s="12" t="str">
        <f t="shared" si="24"/>
        <v>벽체_강관|벽체_강관_50A|100A(외경128.2mm 이하)</v>
      </c>
      <c r="T213" s="107"/>
    </row>
    <row r="214" spans="1:20" ht="17.100000000000001" customHeight="1">
      <c r="A214" s="494">
        <f t="shared" si="26"/>
        <v>206</v>
      </c>
      <c r="B214" s="482" t="s">
        <v>174</v>
      </c>
      <c r="C214" s="42" t="s">
        <v>164</v>
      </c>
      <c r="D214" s="36" t="s">
        <v>158</v>
      </c>
      <c r="E214" s="228">
        <v>9550</v>
      </c>
      <c r="F214" s="229">
        <f t="shared" si="23"/>
        <v>19100</v>
      </c>
      <c r="G214" s="229">
        <f t="shared" si="25"/>
        <v>10880</v>
      </c>
      <c r="H214" s="99" t="s">
        <v>145</v>
      </c>
      <c r="I214" s="142">
        <v>380.2</v>
      </c>
      <c r="J214" s="367">
        <f t="shared" si="20"/>
        <v>7.9208333333333325E-2</v>
      </c>
      <c r="K214" s="139">
        <f t="shared" si="22"/>
        <v>4339</v>
      </c>
      <c r="L214" s="140" cm="1">
        <f t="array" ref="L214">TRUNC(
  IF(ISNUMBER(SEARCH("대구경 인정서",$O214)),
    _xlfn.LET(
      _xlpm.size, VALUE(SUBSTITUTE(MID($C214, FIND("_",$C214, LEN($C214)-5)+1, LEN($C214)), "A","")),
      _xlpm.base_val, _xlfn.IFS(_xlpm.size&lt;=50, 1/6, _xlpm.size&lt;=100, 1/4, _xlpm.size&lt;=150, 1/3, _xlpm.size&lt;=200, 1/2, TRUE, 0),
      IF(ISNUMBER(SEARCH("벽체", $C214)), _xlpm.base_val * 2, _xlpm.base_val)
    ),
  0),
2)</f>
        <v>0.33</v>
      </c>
      <c r="M214" s="141">
        <f>FLOOR($L214 * $G$262,1)</f>
        <v>1425</v>
      </c>
      <c r="N214" s="454" t="s">
        <v>443</v>
      </c>
      <c r="O214" s="582" t="s">
        <v>178</v>
      </c>
      <c r="P214" s="583"/>
      <c r="Q214" s="12" t="str">
        <f t="shared" si="24"/>
        <v>벽체_강관|벽체_강관_50A|100A(개구부 간격 33.85~51.1mm)</v>
      </c>
      <c r="T214" s="107"/>
    </row>
    <row r="215" spans="1:20">
      <c r="A215" s="494">
        <f t="shared" si="26"/>
        <v>207</v>
      </c>
      <c r="B215" s="482" t="s">
        <v>174</v>
      </c>
      <c r="C215" s="42" t="s">
        <v>164</v>
      </c>
      <c r="D215" s="36" t="s">
        <v>48</v>
      </c>
      <c r="E215" s="228">
        <v>11130</v>
      </c>
      <c r="F215" s="229">
        <f t="shared" si="23"/>
        <v>22260</v>
      </c>
      <c r="G215" s="229">
        <f t="shared" si="25"/>
        <v>12680</v>
      </c>
      <c r="H215" s="99" t="s">
        <v>145</v>
      </c>
      <c r="I215" s="142">
        <v>380.2</v>
      </c>
      <c r="J215" s="367">
        <f t="shared" si="20"/>
        <v>7.9208333333333325E-2</v>
      </c>
      <c r="K215" s="139">
        <f t="shared" si="22"/>
        <v>4339</v>
      </c>
      <c r="L215" s="140" cm="1">
        <f t="array" ref="L215">TRUNC(
  IF(ISNUMBER(SEARCH("대구경 인정서",$O215)),
    _xlfn.LET(
      _xlpm.size, VALUE(SUBSTITUTE(MID($C215, FIND("_",$C215, LEN($C215)-5)+1, LEN($C215)), "A","")),
      _xlpm.base_val, _xlfn.IFS(_xlpm.size&lt;=50, 1/6, _xlpm.size&lt;=100, 1/4, _xlpm.size&lt;=150, 1/3, _xlpm.size&lt;=200, 1/2, TRUE, 0),
      IF(ISNUMBER(SEARCH("벽체", $C215)), _xlpm.base_val * 2, _xlpm.base_val)
    ),
  0),
2)</f>
        <v>0.33</v>
      </c>
      <c r="M215" s="141">
        <f>FLOOR($L215 * $G$262,1)</f>
        <v>1425</v>
      </c>
      <c r="N215" s="454" t="s">
        <v>443</v>
      </c>
      <c r="O215" s="582" t="s">
        <v>178</v>
      </c>
      <c r="P215" s="583"/>
      <c r="Q215" s="12" t="str">
        <f t="shared" si="24"/>
        <v>벽체_강관|벽체_강관_50A|125A</v>
      </c>
      <c r="T215" s="107"/>
    </row>
    <row r="216" spans="1:20">
      <c r="A216" s="494">
        <f t="shared" si="26"/>
        <v>208</v>
      </c>
      <c r="B216" s="482" t="s">
        <v>174</v>
      </c>
      <c r="C216" s="42" t="s">
        <v>165</v>
      </c>
      <c r="D216" s="36" t="s">
        <v>46</v>
      </c>
      <c r="E216" s="228">
        <v>5840</v>
      </c>
      <c r="F216" s="229">
        <f t="shared" si="23"/>
        <v>11680</v>
      </c>
      <c r="G216" s="229">
        <f t="shared" si="25"/>
        <v>6650</v>
      </c>
      <c r="H216" s="99" t="s">
        <v>103</v>
      </c>
      <c r="I216" s="142">
        <v>479.4</v>
      </c>
      <c r="J216" s="367">
        <f t="shared" si="20"/>
        <v>6.6583333333333328E-2</v>
      </c>
      <c r="K216" s="139">
        <f t="shared" si="22"/>
        <v>1823</v>
      </c>
      <c r="L216" s="140"/>
      <c r="M216" s="141"/>
      <c r="N216" s="459" t="s">
        <v>442</v>
      </c>
      <c r="O216" s="605" t="s">
        <v>176</v>
      </c>
      <c r="P216" s="606"/>
      <c r="Q216" s="12" t="str">
        <f t="shared" si="24"/>
        <v>벽체_강관|벽체_강관_65A|75A</v>
      </c>
      <c r="T216" s="107"/>
    </row>
    <row r="217" spans="1:20" ht="17.100000000000001" customHeight="1">
      <c r="A217" s="494">
        <f t="shared" si="26"/>
        <v>209</v>
      </c>
      <c r="B217" s="482" t="s">
        <v>174</v>
      </c>
      <c r="C217" s="42" t="s">
        <v>165</v>
      </c>
      <c r="D217" s="36" t="s">
        <v>47</v>
      </c>
      <c r="E217" s="228">
        <v>6520</v>
      </c>
      <c r="F217" s="229">
        <f t="shared" si="23"/>
        <v>13040</v>
      </c>
      <c r="G217" s="229">
        <f t="shared" si="25"/>
        <v>7430</v>
      </c>
      <c r="H217" s="99" t="s">
        <v>103</v>
      </c>
      <c r="I217" s="142">
        <v>479.4</v>
      </c>
      <c r="J217" s="367">
        <f t="shared" si="20"/>
        <v>6.6583333333333328E-2</v>
      </c>
      <c r="K217" s="139">
        <f t="shared" si="22"/>
        <v>1823</v>
      </c>
      <c r="L217" s="140"/>
      <c r="M217" s="141"/>
      <c r="N217" s="459" t="s">
        <v>442</v>
      </c>
      <c r="O217" s="605" t="s">
        <v>176</v>
      </c>
      <c r="P217" s="606"/>
      <c r="Q217" s="12" t="str">
        <f t="shared" si="24"/>
        <v>벽체_강관|벽체_강관_65A|100A</v>
      </c>
      <c r="T217" s="107"/>
    </row>
    <row r="218" spans="1:20">
      <c r="A218" s="494">
        <f t="shared" si="26"/>
        <v>210</v>
      </c>
      <c r="B218" s="482" t="s">
        <v>174</v>
      </c>
      <c r="C218" s="42" t="s">
        <v>165</v>
      </c>
      <c r="D218" s="36" t="s">
        <v>158</v>
      </c>
      <c r="E218" s="228">
        <v>10030</v>
      </c>
      <c r="F218" s="229">
        <f t="shared" si="23"/>
        <v>20060</v>
      </c>
      <c r="G218" s="229">
        <f t="shared" si="25"/>
        <v>11430</v>
      </c>
      <c r="H218" s="99" t="s">
        <v>145</v>
      </c>
      <c r="I218" s="142">
        <v>479.4</v>
      </c>
      <c r="J218" s="367">
        <f t="shared" si="20"/>
        <v>9.9874999999999992E-2</v>
      </c>
      <c r="K218" s="139">
        <f t="shared" si="22"/>
        <v>5471</v>
      </c>
      <c r="L218" s="140" cm="1">
        <f t="array" ref="L218">TRUNC(
  IF(ISNUMBER(SEARCH("대구경 인정서",$O218)),
    _xlfn.LET(
      _xlpm.size, VALUE(SUBSTITUTE(MID($C218, FIND("_",$C218, LEN($C218)-5)+1, LEN($C218)), "A","")),
      _xlpm.base_val, _xlfn.IFS(_xlpm.size&lt;=50, 1/6, _xlpm.size&lt;=100, 1/4, _xlpm.size&lt;=150, 1/3, _xlpm.size&lt;=200, 1/2, TRUE, 0),
      IF(ISNUMBER(SEARCH("벽체", $C218)), _xlpm.base_val * 2, _xlpm.base_val)
    ),
  0),
2)</f>
        <v>0.5</v>
      </c>
      <c r="M218" s="141">
        <f>FLOOR($L218 * $G$262,1)</f>
        <v>2160</v>
      </c>
      <c r="N218" s="454" t="s">
        <v>443</v>
      </c>
      <c r="O218" s="582" t="s">
        <v>178</v>
      </c>
      <c r="P218" s="583"/>
      <c r="Q218" s="12" t="str">
        <f t="shared" si="24"/>
        <v>벽체_강관|벽체_강관_65A|100A(개구부 간격 33.85~51.1mm)</v>
      </c>
      <c r="T218" s="107"/>
    </row>
    <row r="219" spans="1:20">
      <c r="A219" s="494">
        <f t="shared" si="26"/>
        <v>211</v>
      </c>
      <c r="B219" s="482" t="s">
        <v>174</v>
      </c>
      <c r="C219" s="42" t="s">
        <v>165</v>
      </c>
      <c r="D219" s="36" t="s">
        <v>48</v>
      </c>
      <c r="E219" s="228">
        <v>11510</v>
      </c>
      <c r="F219" s="229">
        <f t="shared" si="23"/>
        <v>23020</v>
      </c>
      <c r="G219" s="229">
        <f t="shared" si="25"/>
        <v>13120</v>
      </c>
      <c r="H219" s="99" t="s">
        <v>145</v>
      </c>
      <c r="I219" s="142">
        <v>479.4</v>
      </c>
      <c r="J219" s="367">
        <f t="shared" si="20"/>
        <v>9.9874999999999992E-2</v>
      </c>
      <c r="K219" s="139">
        <f t="shared" si="22"/>
        <v>5471</v>
      </c>
      <c r="L219" s="140" cm="1">
        <f t="array" ref="L219">TRUNC(
  IF(ISNUMBER(SEARCH("대구경 인정서",$O219)),
    _xlfn.LET(
      _xlpm.size, VALUE(SUBSTITUTE(MID($C219, FIND("_",$C219, LEN($C219)-5)+1, LEN($C219)), "A","")),
      _xlpm.base_val, _xlfn.IFS(_xlpm.size&lt;=50, 1/6, _xlpm.size&lt;=100, 1/4, _xlpm.size&lt;=150, 1/3, _xlpm.size&lt;=200, 1/2, TRUE, 0),
      IF(ISNUMBER(SEARCH("벽체", $C219)), _xlpm.base_val * 2, _xlpm.base_val)
    ),
  0),
2)</f>
        <v>0.5</v>
      </c>
      <c r="M219" s="141">
        <f>FLOOR($L219 * $G$262,1)</f>
        <v>2160</v>
      </c>
      <c r="N219" s="454" t="s">
        <v>443</v>
      </c>
      <c r="O219" s="582" t="s">
        <v>178</v>
      </c>
      <c r="P219" s="583"/>
      <c r="Q219" s="12" t="str">
        <f t="shared" si="24"/>
        <v>벽체_강관|벽체_강관_65A|125A</v>
      </c>
      <c r="T219" s="107"/>
    </row>
    <row r="220" spans="1:20">
      <c r="A220" s="494">
        <f t="shared" si="26"/>
        <v>212</v>
      </c>
      <c r="B220" s="482" t="s">
        <v>174</v>
      </c>
      <c r="C220" s="42" t="s">
        <v>165</v>
      </c>
      <c r="D220" s="36" t="s">
        <v>49</v>
      </c>
      <c r="E220" s="228">
        <v>12840</v>
      </c>
      <c r="F220" s="229">
        <f t="shared" si="23"/>
        <v>25680</v>
      </c>
      <c r="G220" s="229">
        <f t="shared" si="25"/>
        <v>14630</v>
      </c>
      <c r="H220" s="99" t="s">
        <v>145</v>
      </c>
      <c r="I220" s="142">
        <v>479.4</v>
      </c>
      <c r="J220" s="367">
        <f t="shared" si="20"/>
        <v>9.9874999999999992E-2</v>
      </c>
      <c r="K220" s="139">
        <f t="shared" si="22"/>
        <v>5471</v>
      </c>
      <c r="L220" s="140" cm="1">
        <f t="array" ref="L220">TRUNC(
  IF(ISNUMBER(SEARCH("대구경 인정서",$O220)),
    _xlfn.LET(
      _xlpm.size, VALUE(SUBSTITUTE(MID($C220, FIND("_",$C220, LEN($C220)-5)+1, LEN($C220)), "A","")),
      _xlpm.base_val, _xlfn.IFS(_xlpm.size&lt;=50, 1/6, _xlpm.size&lt;=100, 1/4, _xlpm.size&lt;=150, 1/3, _xlpm.size&lt;=200, 1/2, TRUE, 0),
      IF(ISNUMBER(SEARCH("벽체", $C220)), _xlpm.base_val * 2, _xlpm.base_val)
    ),
  0),
2)</f>
        <v>0.5</v>
      </c>
      <c r="M220" s="141">
        <f>FLOOR($L220 * $G$262,1)</f>
        <v>2160</v>
      </c>
      <c r="N220" s="454" t="s">
        <v>443</v>
      </c>
      <c r="O220" s="582" t="s">
        <v>178</v>
      </c>
      <c r="P220" s="583"/>
      <c r="Q220" s="12" t="str">
        <f t="shared" si="24"/>
        <v>벽체_강관|벽체_강관_65A|150A</v>
      </c>
      <c r="T220" s="107"/>
    </row>
    <row r="221" spans="1:20" ht="17.100000000000001" customHeight="1">
      <c r="A221" s="494">
        <f t="shared" si="26"/>
        <v>213</v>
      </c>
      <c r="B221" s="482" t="s">
        <v>174</v>
      </c>
      <c r="C221" s="42" t="s">
        <v>166</v>
      </c>
      <c r="D221" s="36" t="s">
        <v>47</v>
      </c>
      <c r="E221" s="228">
        <v>6490</v>
      </c>
      <c r="F221" s="229">
        <f t="shared" si="23"/>
        <v>12980</v>
      </c>
      <c r="G221" s="229">
        <f t="shared" si="25"/>
        <v>7390</v>
      </c>
      <c r="H221" s="99" t="s">
        <v>103</v>
      </c>
      <c r="I221" s="142">
        <v>558.6</v>
      </c>
      <c r="J221" s="367">
        <f t="shared" si="20"/>
        <v>7.7583333333333337E-2</v>
      </c>
      <c r="K221" s="139">
        <f t="shared" si="22"/>
        <v>2125</v>
      </c>
      <c r="L221" s="140"/>
      <c r="M221" s="141"/>
      <c r="N221" s="459" t="s">
        <v>442</v>
      </c>
      <c r="O221" s="605" t="s">
        <v>176</v>
      </c>
      <c r="P221" s="606"/>
      <c r="Q221" s="12" t="str">
        <f t="shared" si="24"/>
        <v>벽체_강관|벽체_강관_80A|100A</v>
      </c>
      <c r="T221" s="107"/>
    </row>
    <row r="222" spans="1:20">
      <c r="A222" s="494">
        <f t="shared" si="26"/>
        <v>214</v>
      </c>
      <c r="B222" s="482" t="s">
        <v>174</v>
      </c>
      <c r="C222" s="42" t="s">
        <v>166</v>
      </c>
      <c r="D222" s="36" t="s">
        <v>48</v>
      </c>
      <c r="E222" s="228">
        <v>7940</v>
      </c>
      <c r="F222" s="229">
        <f t="shared" si="23"/>
        <v>15880</v>
      </c>
      <c r="G222" s="229">
        <f t="shared" si="25"/>
        <v>9050</v>
      </c>
      <c r="H222" s="99" t="s">
        <v>103</v>
      </c>
      <c r="I222" s="142">
        <v>558.6</v>
      </c>
      <c r="J222" s="367">
        <f t="shared" si="20"/>
        <v>7.7583333333333337E-2</v>
      </c>
      <c r="K222" s="139">
        <f t="shared" si="22"/>
        <v>2125</v>
      </c>
      <c r="L222" s="140"/>
      <c r="M222" s="141"/>
      <c r="N222" s="459" t="s">
        <v>442</v>
      </c>
      <c r="O222" s="605" t="s">
        <v>176</v>
      </c>
      <c r="P222" s="606"/>
      <c r="Q222" s="12" t="str">
        <f t="shared" si="24"/>
        <v>벽체_강관|벽체_강관_80A|125A</v>
      </c>
      <c r="T222" s="107"/>
    </row>
    <row r="223" spans="1:20">
      <c r="A223" s="494">
        <f t="shared" si="26"/>
        <v>215</v>
      </c>
      <c r="B223" s="482" t="s">
        <v>174</v>
      </c>
      <c r="C223" s="42" t="s">
        <v>166</v>
      </c>
      <c r="D223" s="36" t="s">
        <v>159</v>
      </c>
      <c r="E223" s="228">
        <v>11790</v>
      </c>
      <c r="F223" s="229">
        <f t="shared" si="23"/>
        <v>23580</v>
      </c>
      <c r="G223" s="229">
        <f t="shared" si="25"/>
        <v>13440</v>
      </c>
      <c r="H223" s="99" t="s">
        <v>145</v>
      </c>
      <c r="I223" s="142">
        <v>558.6</v>
      </c>
      <c r="J223" s="367">
        <f t="shared" si="20"/>
        <v>0.11637500000000001</v>
      </c>
      <c r="K223" s="139">
        <f t="shared" si="22"/>
        <v>6375</v>
      </c>
      <c r="L223" s="140" cm="1">
        <f t="array" ref="L223">TRUNC(
  IF(ISNUMBER(SEARCH("대구경 인정서",$O223)),
    _xlfn.LET(
      _xlpm.size, VALUE(SUBSTITUTE(MID($C223, FIND("_",$C223, LEN($C223)-5)+1, LEN($C223)), "A","")),
      _xlpm.base_val, _xlfn.IFS(_xlpm.size&lt;=50, 1/6, _xlpm.size&lt;=100, 1/4, _xlpm.size&lt;=150, 1/3, _xlpm.size&lt;=200, 1/2, TRUE, 0),
      IF(ISNUMBER(SEARCH("벽체", $C223)), _xlpm.base_val * 2, _xlpm.base_val)
    ),
  0),
2)</f>
        <v>0.5</v>
      </c>
      <c r="M223" s="141">
        <f>FLOOR($L223 * $G$262,1)</f>
        <v>2160</v>
      </c>
      <c r="N223" s="454" t="s">
        <v>443</v>
      </c>
      <c r="O223" s="582" t="s">
        <v>178</v>
      </c>
      <c r="P223" s="583"/>
      <c r="Q223" s="12" t="str">
        <f t="shared" si="24"/>
        <v>벽체_강관|벽체_강관_80A|125A(개구부 간격 33.85~51.1mm)</v>
      </c>
      <c r="T223" s="107"/>
    </row>
    <row r="224" spans="1:20" ht="17.100000000000001" customHeight="1">
      <c r="A224" s="494">
        <f t="shared" si="26"/>
        <v>216</v>
      </c>
      <c r="B224" s="482" t="s">
        <v>174</v>
      </c>
      <c r="C224" s="42" t="s">
        <v>166</v>
      </c>
      <c r="D224" s="36" t="s">
        <v>49</v>
      </c>
      <c r="E224" s="228">
        <v>13080</v>
      </c>
      <c r="F224" s="229">
        <f t="shared" si="23"/>
        <v>26160</v>
      </c>
      <c r="G224" s="229">
        <f t="shared" si="25"/>
        <v>14910</v>
      </c>
      <c r="H224" s="99" t="s">
        <v>145</v>
      </c>
      <c r="I224" s="142">
        <v>558.6</v>
      </c>
      <c r="J224" s="367">
        <f t="shared" si="20"/>
        <v>0.11637500000000001</v>
      </c>
      <c r="K224" s="139">
        <f t="shared" si="22"/>
        <v>6375</v>
      </c>
      <c r="L224" s="140" cm="1">
        <f t="array" ref="L224">TRUNC(
  IF(ISNUMBER(SEARCH("대구경 인정서",$O224)),
    _xlfn.LET(
      _xlpm.size, VALUE(SUBSTITUTE(MID($C224, FIND("_",$C224, LEN($C224)-5)+1, LEN($C224)), "A","")),
      _xlpm.base_val, _xlfn.IFS(_xlpm.size&lt;=50, 1/6, _xlpm.size&lt;=100, 1/4, _xlpm.size&lt;=150, 1/3, _xlpm.size&lt;=200, 1/2, TRUE, 0),
      IF(ISNUMBER(SEARCH("벽체", $C224)), _xlpm.base_val * 2, _xlpm.base_val)
    ),
  0),
2)</f>
        <v>0.5</v>
      </c>
      <c r="M224" s="141">
        <f>FLOOR($L224 * $G$262,1)</f>
        <v>2160</v>
      </c>
      <c r="N224" s="454" t="s">
        <v>443</v>
      </c>
      <c r="O224" s="582" t="s">
        <v>178</v>
      </c>
      <c r="P224" s="583"/>
      <c r="Q224" s="12" t="str">
        <f t="shared" si="24"/>
        <v>벽체_강관|벽체_강관_80A|150A</v>
      </c>
      <c r="T224" s="107"/>
    </row>
    <row r="225" spans="1:21">
      <c r="A225" s="494">
        <f t="shared" si="26"/>
        <v>217</v>
      </c>
      <c r="B225" s="482" t="s">
        <v>174</v>
      </c>
      <c r="C225" s="42" t="s">
        <v>167</v>
      </c>
      <c r="D225" s="36" t="s">
        <v>48</v>
      </c>
      <c r="E225" s="228">
        <v>7790</v>
      </c>
      <c r="F225" s="229">
        <f t="shared" si="23"/>
        <v>15580</v>
      </c>
      <c r="G225" s="229">
        <f t="shared" si="25"/>
        <v>8880</v>
      </c>
      <c r="H225" s="99" t="s">
        <v>103</v>
      </c>
      <c r="I225" s="142">
        <v>718.2</v>
      </c>
      <c r="J225" s="367">
        <f t="shared" si="20"/>
        <v>9.9750000000000005E-2</v>
      </c>
      <c r="K225" s="139">
        <f t="shared" si="22"/>
        <v>2732</v>
      </c>
      <c r="L225" s="140"/>
      <c r="M225" s="141"/>
      <c r="N225" s="459" t="s">
        <v>442</v>
      </c>
      <c r="O225" s="605" t="s">
        <v>176</v>
      </c>
      <c r="P225" s="606"/>
      <c r="Q225" s="12" t="str">
        <f t="shared" si="24"/>
        <v>벽체_강관|벽체_강관_100A|125A</v>
      </c>
      <c r="T225" s="107"/>
    </row>
    <row r="226" spans="1:21">
      <c r="A226" s="494">
        <f t="shared" si="26"/>
        <v>218</v>
      </c>
      <c r="B226" s="482" t="s">
        <v>174</v>
      </c>
      <c r="C226" s="42" t="s">
        <v>167</v>
      </c>
      <c r="D226" s="36" t="s">
        <v>49</v>
      </c>
      <c r="E226" s="228">
        <v>9030</v>
      </c>
      <c r="F226" s="229">
        <f t="shared" si="23"/>
        <v>18060</v>
      </c>
      <c r="G226" s="229">
        <f t="shared" si="25"/>
        <v>10290</v>
      </c>
      <c r="H226" s="99" t="s">
        <v>103</v>
      </c>
      <c r="I226" s="142">
        <v>718.2</v>
      </c>
      <c r="J226" s="367">
        <f t="shared" si="20"/>
        <v>9.9750000000000005E-2</v>
      </c>
      <c r="K226" s="139">
        <f t="shared" si="22"/>
        <v>2732</v>
      </c>
      <c r="L226" s="140"/>
      <c r="M226" s="141"/>
      <c r="N226" s="459" t="s">
        <v>442</v>
      </c>
      <c r="O226" s="605" t="s">
        <v>176</v>
      </c>
      <c r="P226" s="606"/>
      <c r="Q226" s="12" t="str">
        <f t="shared" si="24"/>
        <v>벽체_강관|벽체_강관_100A|150A</v>
      </c>
      <c r="T226" s="107"/>
    </row>
    <row r="227" spans="1:21" ht="19.350000000000001" customHeight="1">
      <c r="A227" s="494">
        <f t="shared" si="26"/>
        <v>219</v>
      </c>
      <c r="B227" s="482" t="s">
        <v>174</v>
      </c>
      <c r="C227" s="42" t="s">
        <v>167</v>
      </c>
      <c r="D227" s="36" t="s">
        <v>50</v>
      </c>
      <c r="E227" s="228">
        <v>17330</v>
      </c>
      <c r="F227" s="229">
        <f t="shared" si="23"/>
        <v>34660</v>
      </c>
      <c r="G227" s="229">
        <f t="shared" si="25"/>
        <v>19750</v>
      </c>
      <c r="H227" s="99" t="s">
        <v>145</v>
      </c>
      <c r="I227" s="142">
        <v>718.2</v>
      </c>
      <c r="J227" s="367">
        <f t="shared" si="20"/>
        <v>0.14962500000000001</v>
      </c>
      <c r="K227" s="139">
        <f t="shared" si="22"/>
        <v>8196</v>
      </c>
      <c r="L227" s="140" cm="1">
        <f t="array" ref="L227">TRUNC(
  IF(ISNUMBER(SEARCH("대구경 인정서",$O227)),
    _xlfn.LET(
      _xlpm.size, VALUE(SUBSTITUTE(MID($C227, FIND("_",$C227, LEN($C227)-5)+1, LEN($C227)), "A","")),
      _xlpm.base_val, _xlfn.IFS(_xlpm.size&lt;=50, 1/6, _xlpm.size&lt;=100, 1/4, _xlpm.size&lt;=150, 1/3, _xlpm.size&lt;=200, 1/2, TRUE, 0),
      IF(ISNUMBER(SEARCH("벽체", $C227)), _xlpm.base_val * 2, _xlpm.base_val)
    ),
  0),
2)</f>
        <v>0.5</v>
      </c>
      <c r="M227" s="141">
        <f t="shared" ref="M227:M233" si="27">FLOOR($L227 * $G$262,1)</f>
        <v>2160</v>
      </c>
      <c r="N227" s="454" t="s">
        <v>443</v>
      </c>
      <c r="O227" s="582" t="s">
        <v>178</v>
      </c>
      <c r="P227" s="583"/>
      <c r="Q227" s="12" t="str">
        <f t="shared" si="24"/>
        <v>벽체_강관|벽체_강관_100A|200A</v>
      </c>
      <c r="T227" s="107"/>
    </row>
    <row r="228" spans="1:21">
      <c r="A228" s="494">
        <f t="shared" si="26"/>
        <v>220</v>
      </c>
      <c r="B228" s="482" t="s">
        <v>174</v>
      </c>
      <c r="C228" s="42" t="s">
        <v>168</v>
      </c>
      <c r="D228" s="36" t="s">
        <v>49</v>
      </c>
      <c r="E228" s="228">
        <v>13830</v>
      </c>
      <c r="F228" s="229">
        <f t="shared" si="23"/>
        <v>27660</v>
      </c>
      <c r="G228" s="229">
        <f t="shared" si="25"/>
        <v>15760</v>
      </c>
      <c r="H228" s="99" t="s">
        <v>145</v>
      </c>
      <c r="I228" s="142">
        <v>878.4</v>
      </c>
      <c r="J228" s="367">
        <f t="shared" si="20"/>
        <v>0.183</v>
      </c>
      <c r="K228" s="139">
        <f t="shared" si="22"/>
        <v>10024</v>
      </c>
      <c r="L228" s="140" cm="1">
        <f t="array" ref="L228">TRUNC(
  IF(ISNUMBER(SEARCH("대구경 인정서",$O228)),
    _xlfn.LET(
      _xlpm.size, VALUE(SUBSTITUTE(MID($C228, FIND("_",$C228, LEN($C228)-5)+1, LEN($C228)), "A","")),
      _xlpm.base_val, _xlfn.IFS(_xlpm.size&lt;=50, 1/6, _xlpm.size&lt;=100, 1/4, _xlpm.size&lt;=150, 1/3, _xlpm.size&lt;=200, 1/2, TRUE, 0),
      IF(ISNUMBER(SEARCH("벽체", $C228)), _xlpm.base_val * 2, _xlpm.base_val)
    ),
  0),
2)</f>
        <v>0.66</v>
      </c>
      <c r="M228" s="141">
        <f t="shared" si="27"/>
        <v>2851</v>
      </c>
      <c r="N228" s="454" t="s">
        <v>443</v>
      </c>
      <c r="O228" s="582" t="s">
        <v>178</v>
      </c>
      <c r="P228" s="583"/>
      <c r="Q228" s="12" t="str">
        <f t="shared" si="24"/>
        <v>벽체_강관|벽체_강관_125A|150A</v>
      </c>
      <c r="T228" s="107"/>
    </row>
    <row r="229" spans="1:21">
      <c r="A229" s="494">
        <f t="shared" si="26"/>
        <v>221</v>
      </c>
      <c r="B229" s="482" t="s">
        <v>174</v>
      </c>
      <c r="C229" s="42" t="s">
        <v>168</v>
      </c>
      <c r="D229" s="36" t="s">
        <v>50</v>
      </c>
      <c r="E229" s="228">
        <v>17440</v>
      </c>
      <c r="F229" s="229">
        <f t="shared" si="23"/>
        <v>34880</v>
      </c>
      <c r="G229" s="229">
        <f t="shared" si="25"/>
        <v>19880</v>
      </c>
      <c r="H229" s="99" t="s">
        <v>145</v>
      </c>
      <c r="I229" s="142">
        <v>878.4</v>
      </c>
      <c r="J229" s="367">
        <f t="shared" ref="J229:J233" si="28">I229 / RIGHT(H229, LEN(H229)-FIND("@", SUBSTITUTE(H229, "*", "@", LEN(H229)-LEN(SUBSTITUTE(H229, "*", "")))))</f>
        <v>0.183</v>
      </c>
      <c r="K229" s="139">
        <f t="shared" si="22"/>
        <v>10024</v>
      </c>
      <c r="L229" s="140" cm="1">
        <f t="array" ref="L229">TRUNC(
  IF(ISNUMBER(SEARCH("대구경 인정서",$O229)),
    _xlfn.LET(
      _xlpm.size, VALUE(SUBSTITUTE(MID($C229, FIND("_",$C229, LEN($C229)-5)+1, LEN($C229)), "A","")),
      _xlpm.base_val, _xlfn.IFS(_xlpm.size&lt;=50, 1/6, _xlpm.size&lt;=100, 1/4, _xlpm.size&lt;=150, 1/3, _xlpm.size&lt;=200, 1/2, TRUE, 0),
      IF(ISNUMBER(SEARCH("벽체", $C229)), _xlpm.base_val * 2, _xlpm.base_val)
    ),
  0),
2)</f>
        <v>0.66</v>
      </c>
      <c r="M229" s="141">
        <f t="shared" si="27"/>
        <v>2851</v>
      </c>
      <c r="N229" s="454" t="s">
        <v>443</v>
      </c>
      <c r="O229" s="582" t="s">
        <v>178</v>
      </c>
      <c r="P229" s="583"/>
      <c r="Q229" s="12" t="str">
        <f t="shared" si="24"/>
        <v>벽체_강관|벽체_강관_125A|200A</v>
      </c>
      <c r="T229" s="107"/>
    </row>
    <row r="230" spans="1:21" ht="17.100000000000001" customHeight="1">
      <c r="A230" s="494">
        <f t="shared" si="26"/>
        <v>222</v>
      </c>
      <c r="B230" s="482" t="s">
        <v>174</v>
      </c>
      <c r="C230" s="42" t="s">
        <v>169</v>
      </c>
      <c r="D230" s="36" t="s">
        <v>50</v>
      </c>
      <c r="E230" s="228">
        <v>17490</v>
      </c>
      <c r="F230" s="229">
        <f t="shared" si="23"/>
        <v>34980</v>
      </c>
      <c r="G230" s="229">
        <f t="shared" si="25"/>
        <v>19930</v>
      </c>
      <c r="H230" s="99" t="s">
        <v>145</v>
      </c>
      <c r="I230" s="142">
        <v>1037.8</v>
      </c>
      <c r="J230" s="367">
        <f t="shared" si="28"/>
        <v>0.21620833333333334</v>
      </c>
      <c r="K230" s="139">
        <f t="shared" si="22"/>
        <v>11843</v>
      </c>
      <c r="L230" s="140" cm="1">
        <f t="array" ref="L230">TRUNC(
  IF(ISNUMBER(SEARCH("대구경 인정서",$O230)),
    _xlfn.LET(
      _xlpm.size, VALUE(SUBSTITUTE(MID($C230, FIND("_",$C230, LEN($C230)-5)+1, LEN($C230)), "A","")),
      _xlpm.base_val, _xlfn.IFS(_xlpm.size&lt;=50, 1/6, _xlpm.size&lt;=100, 1/4, _xlpm.size&lt;=150, 1/3, _xlpm.size&lt;=200, 1/2, TRUE, 0),
      IF(ISNUMBER(SEARCH("벽체", $C230)), _xlpm.base_val * 2, _xlpm.base_val)
    ),
  0),
2)</f>
        <v>0.66</v>
      </c>
      <c r="M230" s="141">
        <f t="shared" si="27"/>
        <v>2851</v>
      </c>
      <c r="N230" s="454" t="s">
        <v>443</v>
      </c>
      <c r="O230" s="582" t="s">
        <v>178</v>
      </c>
      <c r="P230" s="583"/>
      <c r="Q230" s="12" t="str">
        <f t="shared" si="24"/>
        <v>벽체_강관|벽체_강관_150A|200A</v>
      </c>
      <c r="T230" s="107"/>
    </row>
    <row r="231" spans="1:21">
      <c r="A231" s="494">
        <f t="shared" si="26"/>
        <v>223</v>
      </c>
      <c r="B231" s="482" t="s">
        <v>174</v>
      </c>
      <c r="C231" s="42" t="s">
        <v>169</v>
      </c>
      <c r="D231" s="36" t="s">
        <v>172</v>
      </c>
      <c r="E231" s="228">
        <v>21880</v>
      </c>
      <c r="F231" s="229">
        <f t="shared" si="23"/>
        <v>43760</v>
      </c>
      <c r="G231" s="229">
        <f t="shared" si="25"/>
        <v>24940</v>
      </c>
      <c r="H231" s="99" t="s">
        <v>145</v>
      </c>
      <c r="I231" s="142">
        <v>1037.8</v>
      </c>
      <c r="J231" s="367">
        <f t="shared" si="28"/>
        <v>0.21620833333333334</v>
      </c>
      <c r="K231" s="139">
        <f t="shared" si="22"/>
        <v>11843</v>
      </c>
      <c r="L231" s="140" cm="1">
        <f t="array" ref="L231">TRUNC(
  IF(ISNUMBER(SEARCH("대구경 인정서",$O231)),
    _xlfn.LET(
      _xlpm.size, VALUE(SUBSTITUTE(MID($C231, FIND("_",$C231, LEN($C231)-5)+1, LEN($C231)), "A","")),
      _xlpm.base_val, _xlfn.IFS(_xlpm.size&lt;=50, 1/6, _xlpm.size&lt;=100, 1/4, _xlpm.size&lt;=150, 1/3, _xlpm.size&lt;=200, 1/2, TRUE, 0),
      IF(ISNUMBER(SEARCH("벽체", $C231)), _xlpm.base_val * 2, _xlpm.base_val)
    ),
  0),
2)</f>
        <v>0.66</v>
      </c>
      <c r="M231" s="141">
        <f t="shared" si="27"/>
        <v>2851</v>
      </c>
      <c r="N231" s="454" t="s">
        <v>443</v>
      </c>
      <c r="O231" s="582" t="s">
        <v>178</v>
      </c>
      <c r="P231" s="583"/>
      <c r="Q231" s="12" t="str">
        <f t="shared" si="24"/>
        <v>벽체_강관|벽체_강관_150A|250A(외경 267.4mm 이하)</v>
      </c>
      <c r="T231" s="107"/>
    </row>
    <row r="232" spans="1:21">
      <c r="A232" s="494">
        <f t="shared" si="26"/>
        <v>224</v>
      </c>
      <c r="B232" s="482" t="s">
        <v>174</v>
      </c>
      <c r="C232" s="42" t="s">
        <v>170</v>
      </c>
      <c r="D232" s="36" t="s">
        <v>51</v>
      </c>
      <c r="E232" s="228">
        <v>21300</v>
      </c>
      <c r="F232" s="229">
        <f t="shared" si="23"/>
        <v>42600</v>
      </c>
      <c r="G232" s="229">
        <f t="shared" si="25"/>
        <v>24280</v>
      </c>
      <c r="H232" s="99" t="s">
        <v>145</v>
      </c>
      <c r="I232" s="142">
        <v>1359</v>
      </c>
      <c r="J232" s="367">
        <f t="shared" si="28"/>
        <v>0.28312500000000002</v>
      </c>
      <c r="K232" s="139">
        <f t="shared" si="22"/>
        <v>15509</v>
      </c>
      <c r="L232" s="140" cm="1">
        <f t="array" ref="L232">TRUNC(
  IF(ISNUMBER(SEARCH("대구경 인정서",$O232)),
    _xlfn.LET(
      _xlpm.size, VALUE(SUBSTITUTE(MID($C232, FIND("_",$C232, LEN($C232)-5)+1, LEN($C232)), "A","")),
      _xlpm.base_val, _xlfn.IFS(_xlpm.size&lt;=50, 1/6, _xlpm.size&lt;=100, 1/4, _xlpm.size&lt;=150, 1/3, _xlpm.size&lt;=200, 1/2, TRUE, 0),
      IF(ISNUMBER(SEARCH("벽체", $C232)), _xlpm.base_val * 2, _xlpm.base_val)
    ),
  0),
2)</f>
        <v>1</v>
      </c>
      <c r="M232" s="141">
        <f t="shared" si="27"/>
        <v>4320</v>
      </c>
      <c r="N232" s="454" t="s">
        <v>444</v>
      </c>
      <c r="O232" s="582" t="s">
        <v>448</v>
      </c>
      <c r="P232" s="583"/>
      <c r="Q232" s="12" t="str">
        <f t="shared" si="24"/>
        <v>벽체_강관|벽체_강관_200A|250A</v>
      </c>
      <c r="T232" s="107"/>
    </row>
    <row r="233" spans="1:21" ht="17.25" thickBot="1">
      <c r="A233" s="495">
        <f t="shared" si="26"/>
        <v>225</v>
      </c>
      <c r="B233" s="483" t="s">
        <v>174</v>
      </c>
      <c r="C233" s="100" t="s">
        <v>170</v>
      </c>
      <c r="D233" s="101" t="s">
        <v>173</v>
      </c>
      <c r="E233" s="230">
        <v>28150</v>
      </c>
      <c r="F233" s="231">
        <f t="shared" si="23"/>
        <v>56300</v>
      </c>
      <c r="G233" s="231">
        <f t="shared" si="25"/>
        <v>32090</v>
      </c>
      <c r="H233" s="102" t="s">
        <v>145</v>
      </c>
      <c r="I233" s="143">
        <v>1359</v>
      </c>
      <c r="J233" s="369">
        <f t="shared" si="28"/>
        <v>0.28312500000000002</v>
      </c>
      <c r="K233" s="143">
        <f t="shared" si="22"/>
        <v>15509</v>
      </c>
      <c r="L233" s="144" cm="1">
        <f t="array" ref="L233">TRUNC(
  IF(ISNUMBER(SEARCH("대구경 인정서",$O233)),
    _xlfn.LET(
      _xlpm.size, VALUE(SUBSTITUTE(MID($C233, FIND("_",$C233, LEN($C233)-5)+1, LEN($C233)), "A","")),
      _xlpm.base_val, _xlfn.IFS(_xlpm.size&lt;=50, 1/6, _xlpm.size&lt;=100, 1/4, _xlpm.size&lt;=150, 1/3, _xlpm.size&lt;=200, 1/2, TRUE, 0),
      IF(ISNUMBER(SEARCH("벽체", $C233)), _xlpm.base_val * 2, _xlpm.base_val)
    ),
  0),
2)</f>
        <v>1</v>
      </c>
      <c r="M233" s="145">
        <f t="shared" si="27"/>
        <v>4320</v>
      </c>
      <c r="N233" s="455" t="s">
        <v>444</v>
      </c>
      <c r="O233" s="574" t="s">
        <v>447</v>
      </c>
      <c r="P233" s="575"/>
      <c r="Q233" s="12" t="str">
        <f t="shared" si="24"/>
        <v>벽체_강관|벽체_강관_200A|300A(외경 318mm 이하)</v>
      </c>
      <c r="T233" s="107"/>
    </row>
    <row r="234" spans="1:21">
      <c r="A234" s="498">
        <f t="shared" si="26"/>
        <v>226</v>
      </c>
      <c r="B234" s="477" t="s">
        <v>187</v>
      </c>
      <c r="C234" s="168" t="s">
        <v>269</v>
      </c>
      <c r="D234" s="51" t="s">
        <v>45</v>
      </c>
      <c r="E234" s="169">
        <v>5800</v>
      </c>
      <c r="F234" s="170">
        <f t="shared" si="23"/>
        <v>11600</v>
      </c>
      <c r="G234" s="170">
        <f t="shared" si="25"/>
        <v>6610</v>
      </c>
      <c r="H234" s="171"/>
      <c r="I234" s="113"/>
      <c r="J234" s="368"/>
      <c r="K234" s="114"/>
      <c r="L234" s="212"/>
      <c r="M234" s="213"/>
      <c r="N234" s="450" t="s">
        <v>445</v>
      </c>
      <c r="O234" s="586" t="s">
        <v>140</v>
      </c>
      <c r="P234" s="587"/>
      <c r="Q234" s="12" t="str">
        <f t="shared" si="24"/>
        <v>벽체_PVC|벽체_PVC_25A|50A</v>
      </c>
      <c r="S234" s="104"/>
      <c r="T234" s="107"/>
      <c r="U234" s="107"/>
    </row>
    <row r="235" spans="1:21">
      <c r="A235" s="494">
        <f t="shared" si="26"/>
        <v>227</v>
      </c>
      <c r="B235" s="477" t="s">
        <v>132</v>
      </c>
      <c r="C235" s="50" t="s">
        <v>133</v>
      </c>
      <c r="D235" s="51" t="s">
        <v>45</v>
      </c>
      <c r="E235" s="169">
        <v>5960</v>
      </c>
      <c r="F235" s="170">
        <f t="shared" si="23"/>
        <v>11920</v>
      </c>
      <c r="G235" s="170">
        <f t="shared" si="25"/>
        <v>6790</v>
      </c>
      <c r="H235" s="171"/>
      <c r="I235" s="113"/>
      <c r="J235" s="368"/>
      <c r="K235" s="114"/>
      <c r="L235" s="212"/>
      <c r="M235" s="213"/>
      <c r="N235" s="450" t="s">
        <v>445</v>
      </c>
      <c r="O235" s="586" t="s">
        <v>140</v>
      </c>
      <c r="P235" s="587"/>
      <c r="Q235" s="12" t="str">
        <f t="shared" si="24"/>
        <v>벽체_PVC|벽체_PVC_30A|50A</v>
      </c>
      <c r="S235" s="104"/>
      <c r="T235" s="107"/>
      <c r="U235" s="107"/>
    </row>
    <row r="236" spans="1:21">
      <c r="A236" s="494">
        <f t="shared" si="26"/>
        <v>228</v>
      </c>
      <c r="B236" s="477" t="s">
        <v>132</v>
      </c>
      <c r="C236" s="50" t="s">
        <v>133</v>
      </c>
      <c r="D236" s="51" t="s">
        <v>46</v>
      </c>
      <c r="E236" s="169">
        <v>9530</v>
      </c>
      <c r="F236" s="170">
        <f t="shared" si="23"/>
        <v>19060</v>
      </c>
      <c r="G236" s="170">
        <f t="shared" si="25"/>
        <v>10860</v>
      </c>
      <c r="H236" s="171"/>
      <c r="I236" s="113"/>
      <c r="J236" s="368"/>
      <c r="K236" s="114"/>
      <c r="L236" s="212" cm="1">
        <f t="array" ref="L236">TRUNC(
  IF(ISNUMBER(SEARCH("대구경 인정서",$O236)),
    _xlfn.LET(
      _xlpm.size, VALUE(SUBSTITUTE(MID($C236, FIND("_",$C236, LEN($C236)-5)+1, LEN($C236)), "A","")),
      _xlpm.base_val, _xlfn.IFS(_xlpm.size&lt;=50, 1/6, _xlpm.size&lt;=100, 1/4, _xlpm.size&lt;=150, 1/3, _xlpm.size&lt;=200, 1/2, TRUE, 0),
      IF(ISNUMBER(SEARCH("벽체", $C236)), _xlpm.base_val * 2, _xlpm.base_val)
    ),
  0),
2)</f>
        <v>0.33</v>
      </c>
      <c r="M236" s="213">
        <f>FLOOR($L236 * $G$262,1)</f>
        <v>1425</v>
      </c>
      <c r="N236" s="452" t="s">
        <v>446</v>
      </c>
      <c r="O236" s="570" t="s">
        <v>141</v>
      </c>
      <c r="P236" s="571"/>
      <c r="Q236" s="12" t="str">
        <f t="shared" si="24"/>
        <v>벽체_PVC|벽체_PVC_30A|75A</v>
      </c>
      <c r="S236" s="104"/>
      <c r="T236" s="107"/>
      <c r="U236" s="107"/>
    </row>
    <row r="237" spans="1:21">
      <c r="A237" s="494">
        <f t="shared" si="26"/>
        <v>229</v>
      </c>
      <c r="B237" s="477" t="s">
        <v>132</v>
      </c>
      <c r="C237" s="168" t="s">
        <v>134</v>
      </c>
      <c r="D237" s="51" t="s">
        <v>45</v>
      </c>
      <c r="E237" s="169">
        <v>6150</v>
      </c>
      <c r="F237" s="170">
        <f t="shared" si="23"/>
        <v>12300</v>
      </c>
      <c r="G237" s="170">
        <f t="shared" si="25"/>
        <v>7010</v>
      </c>
      <c r="H237" s="171"/>
      <c r="I237" s="113"/>
      <c r="J237" s="368"/>
      <c r="K237" s="114"/>
      <c r="L237" s="212"/>
      <c r="M237" s="213"/>
      <c r="N237" s="450" t="s">
        <v>445</v>
      </c>
      <c r="O237" s="586" t="s">
        <v>140</v>
      </c>
      <c r="P237" s="587"/>
      <c r="Q237" s="12" t="str">
        <f t="shared" si="24"/>
        <v>벽체_PVC|벽체_PVC_35A|50A</v>
      </c>
      <c r="S237" s="104"/>
      <c r="T237" s="107"/>
      <c r="U237" s="107"/>
    </row>
    <row r="238" spans="1:21">
      <c r="A238" s="494">
        <f t="shared" si="26"/>
        <v>230</v>
      </c>
      <c r="B238" s="477" t="s">
        <v>132</v>
      </c>
      <c r="C238" s="168" t="s">
        <v>134</v>
      </c>
      <c r="D238" s="51" t="s">
        <v>46</v>
      </c>
      <c r="E238" s="169">
        <v>7530</v>
      </c>
      <c r="F238" s="170">
        <f t="shared" si="23"/>
        <v>15060</v>
      </c>
      <c r="G238" s="170">
        <f t="shared" si="25"/>
        <v>8580</v>
      </c>
      <c r="H238" s="171"/>
      <c r="I238" s="113"/>
      <c r="J238" s="368"/>
      <c r="K238" s="114"/>
      <c r="L238" s="212"/>
      <c r="M238" s="213"/>
      <c r="N238" s="450" t="s">
        <v>445</v>
      </c>
      <c r="O238" s="586" t="s">
        <v>140</v>
      </c>
      <c r="P238" s="587"/>
      <c r="Q238" s="12" t="str">
        <f t="shared" si="24"/>
        <v>벽체_PVC|벽체_PVC_35A|75A</v>
      </c>
      <c r="S238" s="104"/>
      <c r="T238" s="107"/>
      <c r="U238" s="107"/>
    </row>
    <row r="239" spans="1:21">
      <c r="A239" s="494">
        <f t="shared" si="26"/>
        <v>231</v>
      </c>
      <c r="B239" s="477" t="s">
        <v>132</v>
      </c>
      <c r="C239" s="168" t="s">
        <v>134</v>
      </c>
      <c r="D239" s="51" t="s">
        <v>135</v>
      </c>
      <c r="E239" s="169">
        <v>9740</v>
      </c>
      <c r="F239" s="170">
        <f t="shared" si="23"/>
        <v>19480</v>
      </c>
      <c r="G239" s="170">
        <f t="shared" si="25"/>
        <v>11100</v>
      </c>
      <c r="H239" s="171"/>
      <c r="I239" s="113"/>
      <c r="J239" s="368"/>
      <c r="K239" s="114"/>
      <c r="L239" s="212" cm="1">
        <f t="array" ref="L239">TRUNC(
  IF(ISNUMBER(SEARCH("대구경 인정서",$O239)),
    _xlfn.LET(
      _xlpm.size, VALUE(SUBSTITUTE(MID($C239, FIND("_",$C239, LEN($C239)-5)+1, LEN($C239)), "A","")),
      _xlpm.base_val, _xlfn.IFS(_xlpm.size&lt;=50, 1/6, _xlpm.size&lt;=100, 1/4, _xlpm.size&lt;=150, 1/3, _xlpm.size&lt;=200, 1/2, TRUE, 0),
      IF(ISNUMBER(SEARCH("벽체", $C239)), _xlpm.base_val * 2, _xlpm.base_val)
    ),
  0),
2)</f>
        <v>0.33</v>
      </c>
      <c r="M239" s="213">
        <f>FLOOR($L239 * $G$262,1)</f>
        <v>1425</v>
      </c>
      <c r="N239" s="452" t="s">
        <v>446</v>
      </c>
      <c r="O239" s="570" t="s">
        <v>141</v>
      </c>
      <c r="P239" s="571"/>
      <c r="Q239" s="12" t="str">
        <f t="shared" si="24"/>
        <v>벽체_PVC|벽체_PVC_35A|75A(개부구 간격 34~37.5mm)</v>
      </c>
      <c r="S239" s="104"/>
      <c r="T239" s="107"/>
      <c r="U239" s="107"/>
    </row>
    <row r="240" spans="1:21">
      <c r="A240" s="494">
        <f t="shared" si="26"/>
        <v>232</v>
      </c>
      <c r="B240" s="477" t="s">
        <v>132</v>
      </c>
      <c r="C240" s="168" t="s">
        <v>270</v>
      </c>
      <c r="D240" s="51" t="s">
        <v>45</v>
      </c>
      <c r="E240" s="169">
        <v>6430</v>
      </c>
      <c r="F240" s="170">
        <f t="shared" si="23"/>
        <v>12860</v>
      </c>
      <c r="G240" s="170">
        <f t="shared" si="25"/>
        <v>7330</v>
      </c>
      <c r="H240" s="171"/>
      <c r="I240" s="113"/>
      <c r="J240" s="368"/>
      <c r="K240" s="114"/>
      <c r="L240" s="212"/>
      <c r="M240" s="213"/>
      <c r="N240" s="450" t="s">
        <v>445</v>
      </c>
      <c r="O240" s="586" t="s">
        <v>140</v>
      </c>
      <c r="P240" s="587"/>
      <c r="Q240" s="12" t="str">
        <f t="shared" si="24"/>
        <v>벽체_PVC|벽체_PVC_40A|50A</v>
      </c>
      <c r="S240" s="104"/>
      <c r="T240" s="107"/>
      <c r="U240" s="107"/>
    </row>
    <row r="241" spans="1:21">
      <c r="A241" s="494">
        <f t="shared" si="26"/>
        <v>233</v>
      </c>
      <c r="B241" s="477" t="s">
        <v>132</v>
      </c>
      <c r="C241" s="168" t="s">
        <v>67</v>
      </c>
      <c r="D241" s="51" t="s">
        <v>46</v>
      </c>
      <c r="E241" s="169">
        <v>7810</v>
      </c>
      <c r="F241" s="170">
        <f t="shared" si="23"/>
        <v>15620</v>
      </c>
      <c r="G241" s="170">
        <f t="shared" si="25"/>
        <v>8900</v>
      </c>
      <c r="H241" s="171"/>
      <c r="I241" s="113"/>
      <c r="J241" s="368"/>
      <c r="K241" s="114"/>
      <c r="L241" s="212"/>
      <c r="M241" s="213"/>
      <c r="N241" s="450" t="s">
        <v>445</v>
      </c>
      <c r="O241" s="586" t="s">
        <v>140</v>
      </c>
      <c r="P241" s="587"/>
      <c r="Q241" s="12" t="str">
        <f t="shared" si="24"/>
        <v>벽체_PVC|벽체_PVC_40A|75A</v>
      </c>
      <c r="S241" s="104"/>
      <c r="T241" s="107"/>
      <c r="U241" s="107"/>
    </row>
    <row r="242" spans="1:21">
      <c r="A242" s="494">
        <f t="shared" si="26"/>
        <v>234</v>
      </c>
      <c r="B242" s="477" t="s">
        <v>132</v>
      </c>
      <c r="C242" s="168" t="s">
        <v>271</v>
      </c>
      <c r="D242" s="51" t="s">
        <v>46</v>
      </c>
      <c r="E242" s="169">
        <v>8210</v>
      </c>
      <c r="F242" s="170">
        <f t="shared" si="23"/>
        <v>16420</v>
      </c>
      <c r="G242" s="170">
        <f t="shared" si="25"/>
        <v>9350</v>
      </c>
      <c r="H242" s="171"/>
      <c r="I242" s="113"/>
      <c r="J242" s="368"/>
      <c r="K242" s="114"/>
      <c r="L242" s="212"/>
      <c r="M242" s="213"/>
      <c r="N242" s="450" t="s">
        <v>445</v>
      </c>
      <c r="O242" s="586" t="s">
        <v>140</v>
      </c>
      <c r="P242" s="587"/>
      <c r="Q242" s="12" t="str">
        <f t="shared" si="24"/>
        <v>벽체_PVC|벽체_PVC_50A|75A</v>
      </c>
      <c r="S242" s="104"/>
      <c r="T242" s="107"/>
      <c r="U242" s="107"/>
    </row>
    <row r="243" spans="1:21">
      <c r="A243" s="494">
        <f t="shared" si="26"/>
        <v>235</v>
      </c>
      <c r="B243" s="477" t="s">
        <v>132</v>
      </c>
      <c r="C243" s="168" t="s">
        <v>68</v>
      </c>
      <c r="D243" s="51" t="s">
        <v>47</v>
      </c>
      <c r="E243" s="169">
        <v>8940</v>
      </c>
      <c r="F243" s="170">
        <f t="shared" si="23"/>
        <v>17880</v>
      </c>
      <c r="G243" s="170">
        <f t="shared" si="25"/>
        <v>10190</v>
      </c>
      <c r="H243" s="171"/>
      <c r="I243" s="113"/>
      <c r="J243" s="368"/>
      <c r="K243" s="114"/>
      <c r="L243" s="212"/>
      <c r="M243" s="213"/>
      <c r="N243" s="450" t="s">
        <v>445</v>
      </c>
      <c r="O243" s="586" t="s">
        <v>140</v>
      </c>
      <c r="P243" s="587"/>
      <c r="Q243" s="12" t="str">
        <f t="shared" si="24"/>
        <v>벽체_PVC|벽체_PVC_50A|100A</v>
      </c>
      <c r="S243" s="104"/>
      <c r="T243" s="107"/>
      <c r="U243" s="107"/>
    </row>
    <row r="244" spans="1:21">
      <c r="A244" s="494">
        <f t="shared" si="26"/>
        <v>236</v>
      </c>
      <c r="B244" s="477" t="s">
        <v>132</v>
      </c>
      <c r="C244" s="168" t="s">
        <v>68</v>
      </c>
      <c r="D244" s="51" t="s">
        <v>136</v>
      </c>
      <c r="E244" s="169">
        <v>11700</v>
      </c>
      <c r="F244" s="170">
        <f t="shared" si="23"/>
        <v>23400</v>
      </c>
      <c r="G244" s="170">
        <f t="shared" si="25"/>
        <v>13330</v>
      </c>
      <c r="H244" s="171"/>
      <c r="I244" s="113"/>
      <c r="J244" s="368"/>
      <c r="K244" s="114"/>
      <c r="L244" s="212" cm="1">
        <f t="array" ref="L244">TRUNC(
  IF(ISNUMBER(SEARCH("대구경 인정서",$O244)),
    _xlfn.LET(
      _xlpm.size, VALUE(SUBSTITUTE(MID($C244, FIND("_",$C244, LEN($C244)-5)+1, LEN($C244)), "A","")),
      _xlpm.base_val, _xlfn.IFS(_xlpm.size&lt;=50, 1/6, _xlpm.size&lt;=100, 1/4, _xlpm.size&lt;=150, 1/3, _xlpm.size&lt;=200, 1/2, TRUE, 0),
      IF(ISNUMBER(SEARCH("벽체", $C244)), _xlpm.base_val * 2, _xlpm.base_val)
    ),
  0),
2)</f>
        <v>0.33</v>
      </c>
      <c r="M244" s="213">
        <f>FLOOR($L244 * $G$262,1)</f>
        <v>1425</v>
      </c>
      <c r="N244" s="452" t="s">
        <v>446</v>
      </c>
      <c r="O244" s="570" t="s">
        <v>141</v>
      </c>
      <c r="P244" s="571"/>
      <c r="Q244" s="12" t="str">
        <f t="shared" si="24"/>
        <v>벽체_PVC|벽체_PVC_50A|100A(개구부 간격 34~37.5mm)</v>
      </c>
      <c r="S244" s="104"/>
      <c r="T244" s="107"/>
      <c r="U244" s="107"/>
    </row>
    <row r="245" spans="1:21">
      <c r="A245" s="494">
        <f t="shared" si="26"/>
        <v>237</v>
      </c>
      <c r="B245" s="477" t="s">
        <v>132</v>
      </c>
      <c r="C245" s="50" t="s">
        <v>272</v>
      </c>
      <c r="D245" s="51" t="s">
        <v>46</v>
      </c>
      <c r="E245" s="169">
        <v>8690</v>
      </c>
      <c r="F245" s="170">
        <f t="shared" si="23"/>
        <v>17380</v>
      </c>
      <c r="G245" s="170">
        <f t="shared" si="25"/>
        <v>9900</v>
      </c>
      <c r="H245" s="171"/>
      <c r="I245" s="113"/>
      <c r="J245" s="368"/>
      <c r="K245" s="114"/>
      <c r="L245" s="212"/>
      <c r="M245" s="213"/>
      <c r="N245" s="450" t="s">
        <v>445</v>
      </c>
      <c r="O245" s="586" t="s">
        <v>140</v>
      </c>
      <c r="P245" s="587"/>
      <c r="Q245" s="12" t="str">
        <f t="shared" si="24"/>
        <v>벽체_PVC|벽체_PVC_65A|75A</v>
      </c>
      <c r="S245" s="104"/>
      <c r="T245" s="107"/>
      <c r="U245" s="107"/>
    </row>
    <row r="246" spans="1:21">
      <c r="A246" s="494">
        <f t="shared" si="26"/>
        <v>238</v>
      </c>
      <c r="B246" s="477" t="s">
        <v>132</v>
      </c>
      <c r="C246" s="50" t="s">
        <v>69</v>
      </c>
      <c r="D246" s="51" t="s">
        <v>47</v>
      </c>
      <c r="E246" s="169">
        <v>9370</v>
      </c>
      <c r="F246" s="170">
        <f t="shared" si="23"/>
        <v>18740</v>
      </c>
      <c r="G246" s="170">
        <f t="shared" si="25"/>
        <v>10680</v>
      </c>
      <c r="H246" s="171"/>
      <c r="I246" s="113"/>
      <c r="J246" s="368"/>
      <c r="K246" s="114"/>
      <c r="L246" s="212"/>
      <c r="M246" s="213"/>
      <c r="N246" s="450" t="s">
        <v>445</v>
      </c>
      <c r="O246" s="586" t="s">
        <v>140</v>
      </c>
      <c r="P246" s="587"/>
      <c r="Q246" s="12" t="str">
        <f t="shared" si="24"/>
        <v>벽체_PVC|벽체_PVC_65A|100A</v>
      </c>
      <c r="S246" s="104"/>
      <c r="T246" s="107"/>
      <c r="U246" s="107"/>
    </row>
    <row r="247" spans="1:21">
      <c r="A247" s="494">
        <f t="shared" si="26"/>
        <v>239</v>
      </c>
      <c r="B247" s="477" t="s">
        <v>132</v>
      </c>
      <c r="C247" s="50" t="s">
        <v>69</v>
      </c>
      <c r="D247" s="51" t="s">
        <v>137</v>
      </c>
      <c r="E247" s="169">
        <v>14080</v>
      </c>
      <c r="F247" s="170">
        <f t="shared" si="23"/>
        <v>28160</v>
      </c>
      <c r="G247" s="170">
        <f t="shared" si="25"/>
        <v>16050</v>
      </c>
      <c r="H247" s="171"/>
      <c r="I247" s="113"/>
      <c r="J247" s="368"/>
      <c r="K247" s="114"/>
      <c r="L247" s="212" cm="1">
        <f t="array" ref="L247">TRUNC(
  IF(ISNUMBER(SEARCH("대구경 인정서",$O247)),
    _xlfn.LET(
      _xlpm.size, VALUE(SUBSTITUTE(MID($C247, FIND("_",$C247, LEN($C247)-5)+1, LEN($C247)), "A","")),
      _xlpm.base_val, _xlfn.IFS(_xlpm.size&lt;=50, 1/6, _xlpm.size&lt;=100, 1/4, _xlpm.size&lt;=150, 1/3, _xlpm.size&lt;=200, 1/2, TRUE, 0),
      IF(ISNUMBER(SEARCH("벽체", $C247)), _xlpm.base_val * 2, _xlpm.base_val)
    ),
  0),
2)</f>
        <v>0.5</v>
      </c>
      <c r="M247" s="213">
        <f>FLOOR($L247 * $G$262,1)</f>
        <v>2160</v>
      </c>
      <c r="N247" s="452" t="s">
        <v>446</v>
      </c>
      <c r="O247" s="570" t="s">
        <v>141</v>
      </c>
      <c r="P247" s="571"/>
      <c r="Q247" s="12" t="str">
        <f t="shared" si="24"/>
        <v>벽체_PVC|벽체_PVC_65A|125A(외경 152mm 이하)</v>
      </c>
      <c r="S247" s="104"/>
      <c r="T247" s="107"/>
      <c r="U247" s="107"/>
    </row>
    <row r="248" spans="1:21">
      <c r="A248" s="494">
        <f t="shared" si="26"/>
        <v>240</v>
      </c>
      <c r="B248" s="477" t="s">
        <v>132</v>
      </c>
      <c r="C248" s="168" t="s">
        <v>71</v>
      </c>
      <c r="D248" s="51" t="s">
        <v>47</v>
      </c>
      <c r="E248" s="169">
        <v>9710</v>
      </c>
      <c r="F248" s="170">
        <f t="shared" si="23"/>
        <v>19420</v>
      </c>
      <c r="G248" s="170">
        <f t="shared" si="25"/>
        <v>11060</v>
      </c>
      <c r="H248" s="171"/>
      <c r="I248" s="113"/>
      <c r="J248" s="368"/>
      <c r="K248" s="114"/>
      <c r="L248" s="212"/>
      <c r="M248" s="213"/>
      <c r="N248" s="450" t="s">
        <v>445</v>
      </c>
      <c r="O248" s="586" t="s">
        <v>140</v>
      </c>
      <c r="P248" s="587"/>
      <c r="Q248" s="12" t="str">
        <f t="shared" si="24"/>
        <v>벽체_PVC|벽체_PVC_75A|100A</v>
      </c>
      <c r="S248" s="104"/>
      <c r="T248" s="107"/>
      <c r="U248" s="107"/>
    </row>
    <row r="249" spans="1:21">
      <c r="A249" s="494">
        <f t="shared" si="26"/>
        <v>241</v>
      </c>
      <c r="B249" s="477" t="s">
        <v>132</v>
      </c>
      <c r="C249" s="168" t="s">
        <v>71</v>
      </c>
      <c r="D249" s="51" t="s">
        <v>48</v>
      </c>
      <c r="E249" s="169">
        <v>11160</v>
      </c>
      <c r="F249" s="170">
        <f t="shared" si="23"/>
        <v>22320</v>
      </c>
      <c r="G249" s="170">
        <f t="shared" si="25"/>
        <v>12720</v>
      </c>
      <c r="H249" s="171"/>
      <c r="I249" s="113"/>
      <c r="J249" s="368"/>
      <c r="K249" s="114"/>
      <c r="L249" s="212"/>
      <c r="M249" s="213"/>
      <c r="N249" s="450" t="s">
        <v>445</v>
      </c>
      <c r="O249" s="586" t="s">
        <v>140</v>
      </c>
      <c r="P249" s="587"/>
      <c r="Q249" s="12" t="str">
        <f t="shared" si="24"/>
        <v>벽체_PVC|벽체_PVC_75A|125A</v>
      </c>
      <c r="S249" s="104"/>
      <c r="T249" s="107"/>
      <c r="U249" s="107"/>
    </row>
    <row r="250" spans="1:21">
      <c r="A250" s="494">
        <f t="shared" si="26"/>
        <v>242</v>
      </c>
      <c r="B250" s="477" t="s">
        <v>132</v>
      </c>
      <c r="C250" s="168" t="s">
        <v>71</v>
      </c>
      <c r="D250" s="51" t="s">
        <v>138</v>
      </c>
      <c r="E250" s="169">
        <v>14750</v>
      </c>
      <c r="F250" s="170">
        <f t="shared" si="23"/>
        <v>29500</v>
      </c>
      <c r="G250" s="170">
        <f t="shared" si="25"/>
        <v>16810</v>
      </c>
      <c r="H250" s="171"/>
      <c r="I250" s="113"/>
      <c r="J250" s="368"/>
      <c r="K250" s="114"/>
      <c r="L250" s="212" cm="1">
        <f t="array" ref="L250">TRUNC(
  IF(ISNUMBER(SEARCH("대구경 인정서",$O250)),
    _xlfn.LET(
      _xlpm.size, VALUE(SUBSTITUTE(MID($C250, FIND("_",$C250, LEN($C250)-5)+1, LEN($C250)), "A","")),
      _xlpm.base_val, _xlfn.IFS(_xlpm.size&lt;=50, 1/6, _xlpm.size&lt;=100, 1/4, _xlpm.size&lt;=150, 1/3, _xlpm.size&lt;=200, 1/2, TRUE, 0),
      IF(ISNUMBER(SEARCH("벽체", $C250)), _xlpm.base_val * 2, _xlpm.base_val)
    ),
  0),
2)</f>
        <v>0.5</v>
      </c>
      <c r="M250" s="213">
        <f>FLOOR($L250 * $G$262,1)</f>
        <v>2160</v>
      </c>
      <c r="N250" s="452" t="s">
        <v>446</v>
      </c>
      <c r="O250" s="570" t="s">
        <v>141</v>
      </c>
      <c r="P250" s="571"/>
      <c r="Q250" s="12" t="str">
        <f t="shared" si="24"/>
        <v>벽체_PVC|벽체_PVC_75A|125A(개구부 간격 34~37.5mm)</v>
      </c>
      <c r="S250" s="104"/>
      <c r="T250" s="107"/>
      <c r="U250" s="107"/>
    </row>
    <row r="251" spans="1:21">
      <c r="A251" s="494">
        <f t="shared" si="26"/>
        <v>243</v>
      </c>
      <c r="B251" s="477" t="s">
        <v>132</v>
      </c>
      <c r="C251" s="168" t="s">
        <v>139</v>
      </c>
      <c r="D251" s="51" t="s">
        <v>48</v>
      </c>
      <c r="E251" s="169">
        <v>11750</v>
      </c>
      <c r="F251" s="170">
        <f t="shared" si="23"/>
        <v>23500</v>
      </c>
      <c r="G251" s="170">
        <f t="shared" si="25"/>
        <v>13390</v>
      </c>
      <c r="H251" s="171"/>
      <c r="I251" s="113"/>
      <c r="J251" s="368"/>
      <c r="K251" s="114"/>
      <c r="L251" s="212"/>
      <c r="M251" s="213"/>
      <c r="N251" s="450" t="s">
        <v>445</v>
      </c>
      <c r="O251" s="586" t="s">
        <v>140</v>
      </c>
      <c r="P251" s="587"/>
      <c r="Q251" s="12" t="str">
        <f t="shared" si="24"/>
        <v>벽체_PVC|벽체_PVC_100A|125A</v>
      </c>
      <c r="S251" s="104"/>
      <c r="T251" s="107"/>
      <c r="U251" s="107"/>
    </row>
    <row r="252" spans="1:21">
      <c r="A252" s="494">
        <f t="shared" si="26"/>
        <v>244</v>
      </c>
      <c r="B252" s="477" t="s">
        <v>132</v>
      </c>
      <c r="C252" s="168" t="s">
        <v>139</v>
      </c>
      <c r="D252" s="51" t="s">
        <v>49</v>
      </c>
      <c r="E252" s="169">
        <v>12990</v>
      </c>
      <c r="F252" s="170">
        <f t="shared" si="23"/>
        <v>25980</v>
      </c>
      <c r="G252" s="170">
        <f t="shared" si="25"/>
        <v>14800</v>
      </c>
      <c r="H252" s="171"/>
      <c r="I252" s="113"/>
      <c r="J252" s="368"/>
      <c r="K252" s="114"/>
      <c r="L252" s="212"/>
      <c r="M252" s="213"/>
      <c r="N252" s="450" t="s">
        <v>445</v>
      </c>
      <c r="O252" s="586" t="s">
        <v>140</v>
      </c>
      <c r="P252" s="587"/>
      <c r="Q252" s="12" t="str">
        <f t="shared" si="24"/>
        <v>벽체_PVC|벽체_PVC_100A|150A</v>
      </c>
      <c r="S252" s="104"/>
      <c r="T252" s="107"/>
      <c r="U252" s="107"/>
    </row>
    <row r="253" spans="1:21">
      <c r="A253" s="494">
        <f t="shared" si="26"/>
        <v>245</v>
      </c>
      <c r="B253" s="477" t="s">
        <v>132</v>
      </c>
      <c r="C253" s="50" t="s">
        <v>273</v>
      </c>
      <c r="D253" s="51" t="s">
        <v>49</v>
      </c>
      <c r="E253" s="169">
        <v>18410</v>
      </c>
      <c r="F253" s="170">
        <f t="shared" si="23"/>
        <v>36820</v>
      </c>
      <c r="G253" s="170">
        <f t="shared" si="25"/>
        <v>20980</v>
      </c>
      <c r="H253" s="171"/>
      <c r="I253" s="113"/>
      <c r="J253" s="368"/>
      <c r="K253" s="114"/>
      <c r="L253" s="212" cm="1">
        <f t="array" ref="L253">TRUNC(
  IF(ISNUMBER(SEARCH("대구경 인정서",$O253)),
    _xlfn.LET(
      _xlpm.size, VALUE(SUBSTITUTE(MID($C253, FIND("_",$C253, LEN($C253)-5)+1, LEN($C253)), "A","")),
      _xlpm.base_val, _xlfn.IFS(_xlpm.size&lt;=50, 1/6, _xlpm.size&lt;=100, 1/4, _xlpm.size&lt;=150, 1/3, _xlpm.size&lt;=200, 1/2, TRUE, 0),
      IF(ISNUMBER(SEARCH("벽체", $C253)), _xlpm.base_val * 2, _xlpm.base_val)
    ),
  0),
2)</f>
        <v>0.66</v>
      </c>
      <c r="M253" s="213">
        <f>FLOOR($L253 * $G$262,1)</f>
        <v>2851</v>
      </c>
      <c r="N253" s="452" t="s">
        <v>446</v>
      </c>
      <c r="O253" s="570" t="s">
        <v>141</v>
      </c>
      <c r="P253" s="571"/>
      <c r="Q253" s="12" t="str">
        <f t="shared" si="24"/>
        <v>벽체_PVC|벽체_PVC_125A|150A</v>
      </c>
      <c r="S253" s="104"/>
      <c r="T253" s="107"/>
      <c r="U253" s="107"/>
    </row>
    <row r="254" spans="1:21" ht="17.25" thickBot="1">
      <c r="A254" s="495">
        <f t="shared" si="26"/>
        <v>246</v>
      </c>
      <c r="B254" s="479" t="s">
        <v>132</v>
      </c>
      <c r="C254" s="430" t="s">
        <v>274</v>
      </c>
      <c r="D254" s="431" t="s">
        <v>50</v>
      </c>
      <c r="E254" s="432">
        <v>22860</v>
      </c>
      <c r="F254" s="433">
        <f t="shared" si="23"/>
        <v>45720</v>
      </c>
      <c r="G254" s="433">
        <f t="shared" si="25"/>
        <v>26060</v>
      </c>
      <c r="H254" s="434"/>
      <c r="I254" s="435"/>
      <c r="J254" s="436"/>
      <c r="K254" s="435"/>
      <c r="L254" s="437" cm="1">
        <f t="array" ref="L254">TRUNC(
  IF(ISNUMBER(SEARCH("대구경 인정서",$O254)),
    _xlfn.LET(
      _xlpm.size, VALUE(SUBSTITUTE(MID($C254, FIND("_",$C254, LEN($C254)-5)+1, LEN($C254)), "A","")),
      _xlpm.base_val, _xlfn.IFS(_xlpm.size&lt;=50, 1/6, _xlpm.size&lt;=100, 1/4, _xlpm.size&lt;=150, 1/3, _xlpm.size&lt;=200, 1/2, TRUE, 0),
      IF(ISNUMBER(SEARCH("벽체", $C254)), _xlpm.base_val * 2, _xlpm.base_val)
    ),
  0),
2)</f>
        <v>0.66</v>
      </c>
      <c r="M254" s="438">
        <f>FLOOR($L254 * $G$262,1)</f>
        <v>2851</v>
      </c>
      <c r="N254" s="457" t="s">
        <v>446</v>
      </c>
      <c r="O254" s="608" t="s">
        <v>141</v>
      </c>
      <c r="P254" s="609"/>
      <c r="Q254" s="12" t="str">
        <f t="shared" si="24"/>
        <v>벽체_PVC|벽체_PVC_150A|200A</v>
      </c>
      <c r="S254" s="104"/>
      <c r="T254" s="107"/>
      <c r="U254" s="107"/>
    </row>
    <row r="255" spans="1:21" ht="18" customHeight="1">
      <c r="A255" s="498">
        <f t="shared" si="26"/>
        <v>247</v>
      </c>
      <c r="B255" s="484" t="s">
        <v>289</v>
      </c>
      <c r="C255" s="429" t="s">
        <v>131</v>
      </c>
      <c r="D255" s="429"/>
      <c r="E255" s="47">
        <v>24030</v>
      </c>
      <c r="F255" s="47">
        <f t="shared" ref="F255:F284" si="29">E255*$C$4</f>
        <v>48060</v>
      </c>
      <c r="G255" s="152">
        <f t="shared" ref="G255:G285" si="30">FLOOR(F255*$H$4,10)</f>
        <v>27390</v>
      </c>
      <c r="H255" s="232"/>
      <c r="I255" s="233"/>
      <c r="J255" s="373"/>
      <c r="K255" s="234"/>
      <c r="L255" s="235"/>
      <c r="M255" s="236"/>
      <c r="N255" s="458"/>
      <c r="O255" s="599"/>
      <c r="P255" s="600"/>
      <c r="Q255" s="395" t="str">
        <f t="shared" ref="Q255" si="31">B255&amp;"|"&amp;C255&amp;"|"&amp;D255</f>
        <v>차열재|25T*200*7200|</v>
      </c>
      <c r="T255" s="107"/>
    </row>
    <row r="256" spans="1:21" ht="18" customHeight="1">
      <c r="A256" s="494">
        <f t="shared" si="26"/>
        <v>248</v>
      </c>
      <c r="B256" s="484" t="s">
        <v>289</v>
      </c>
      <c r="C256" s="278" t="s">
        <v>290</v>
      </c>
      <c r="D256" s="278"/>
      <c r="E256" s="47">
        <v>48060</v>
      </c>
      <c r="F256" s="47">
        <f t="shared" si="29"/>
        <v>96120</v>
      </c>
      <c r="G256" s="152">
        <f t="shared" si="30"/>
        <v>54780</v>
      </c>
      <c r="H256" s="232"/>
      <c r="I256" s="233"/>
      <c r="J256" s="373"/>
      <c r="K256" s="234"/>
      <c r="L256" s="235"/>
      <c r="M256" s="236"/>
      <c r="N256" s="458"/>
      <c r="O256" s="599"/>
      <c r="P256" s="600"/>
      <c r="Q256" s="395" t="str">
        <f t="shared" ref="Q256:Q261" si="32">B256&amp;"|"&amp;C256&amp;"|"&amp;D256</f>
        <v>차열재|25T*400*7200|</v>
      </c>
      <c r="T256" s="107"/>
    </row>
    <row r="257" spans="1:20">
      <c r="A257" s="494">
        <f t="shared" si="26"/>
        <v>249</v>
      </c>
      <c r="B257" s="484" t="s">
        <v>289</v>
      </c>
      <c r="C257" s="278" t="s">
        <v>291</v>
      </c>
      <c r="D257" s="278"/>
      <c r="E257" s="47">
        <v>24030</v>
      </c>
      <c r="F257" s="47">
        <f t="shared" si="29"/>
        <v>48060</v>
      </c>
      <c r="G257" s="152">
        <f t="shared" si="30"/>
        <v>27390</v>
      </c>
      <c r="H257" s="232"/>
      <c r="I257" s="233"/>
      <c r="J257" s="373"/>
      <c r="K257" s="234"/>
      <c r="L257" s="235"/>
      <c r="M257" s="236"/>
      <c r="N257" s="458"/>
      <c r="O257" s="599"/>
      <c r="P257" s="600"/>
      <c r="Q257" s="395" t="str">
        <f t="shared" si="32"/>
        <v>차열재|38T*200*4800|</v>
      </c>
      <c r="T257" s="107"/>
    </row>
    <row r="258" spans="1:20">
      <c r="A258" s="494">
        <f t="shared" si="26"/>
        <v>250</v>
      </c>
      <c r="B258" s="485" t="s">
        <v>289</v>
      </c>
      <c r="C258" s="279" t="s">
        <v>145</v>
      </c>
      <c r="D258" s="279"/>
      <c r="E258" s="46">
        <v>48060</v>
      </c>
      <c r="F258" s="46">
        <f t="shared" si="29"/>
        <v>96120</v>
      </c>
      <c r="G258" s="131">
        <f t="shared" si="30"/>
        <v>54780</v>
      </c>
      <c r="H258" s="209"/>
      <c r="I258" s="142"/>
      <c r="J258" s="374"/>
      <c r="K258" s="237"/>
      <c r="L258" s="238"/>
      <c r="M258" s="239"/>
      <c r="N258" s="459"/>
      <c r="O258" s="601"/>
      <c r="P258" s="602"/>
      <c r="Q258" s="395" t="str">
        <f t="shared" si="32"/>
        <v>차열재|38T*400*4800|</v>
      </c>
      <c r="T258" s="107"/>
    </row>
    <row r="259" spans="1:20">
      <c r="A259" s="494">
        <f>A258+1</f>
        <v>251</v>
      </c>
      <c r="B259" s="485" t="s">
        <v>289</v>
      </c>
      <c r="C259" s="414" t="s">
        <v>292</v>
      </c>
      <c r="D259" s="414"/>
      <c r="E259" s="415">
        <v>71300</v>
      </c>
      <c r="F259" s="415">
        <f t="shared" si="29"/>
        <v>142600</v>
      </c>
      <c r="G259" s="416">
        <f t="shared" si="30"/>
        <v>81280</v>
      </c>
      <c r="H259" s="417"/>
      <c r="I259" s="418"/>
      <c r="J259" s="367"/>
      <c r="K259" s="418"/>
      <c r="L259" s="419"/>
      <c r="M259" s="420"/>
      <c r="N259" s="454"/>
      <c r="O259" s="603"/>
      <c r="P259" s="604"/>
      <c r="Q259" s="395" t="str">
        <f t="shared" si="32"/>
        <v>차열재|38T*600*4800|</v>
      </c>
      <c r="T259" s="107"/>
    </row>
    <row r="260" spans="1:20">
      <c r="A260" s="494">
        <f t="shared" ref="A260:A262" si="33">A259+1</f>
        <v>252</v>
      </c>
      <c r="B260" s="485" t="s">
        <v>426</v>
      </c>
      <c r="C260" s="414" t="s">
        <v>427</v>
      </c>
      <c r="D260" s="414"/>
      <c r="E260" s="415">
        <v>26450</v>
      </c>
      <c r="F260" s="415">
        <f t="shared" si="29"/>
        <v>52900</v>
      </c>
      <c r="G260" s="416">
        <f t="shared" si="30"/>
        <v>30150</v>
      </c>
      <c r="H260" s="417"/>
      <c r="I260" s="418"/>
      <c r="J260" s="367"/>
      <c r="K260" s="418"/>
      <c r="L260" s="419"/>
      <c r="M260" s="420"/>
      <c r="N260" s="459"/>
      <c r="O260" s="654"/>
      <c r="P260" s="655"/>
      <c r="Q260" s="395" t="str">
        <f t="shared" si="32"/>
        <v>차열재|50T*200*3600|</v>
      </c>
      <c r="T260" s="107"/>
    </row>
    <row r="261" spans="1:20" ht="17.25" thickBot="1">
      <c r="A261" s="495">
        <f t="shared" si="33"/>
        <v>253</v>
      </c>
      <c r="B261" s="486" t="s">
        <v>426</v>
      </c>
      <c r="C261" s="421" t="s">
        <v>428</v>
      </c>
      <c r="D261" s="421"/>
      <c r="E261" s="422">
        <v>51170</v>
      </c>
      <c r="F261" s="422">
        <f t="shared" si="29"/>
        <v>102340</v>
      </c>
      <c r="G261" s="423">
        <f t="shared" si="30"/>
        <v>58330</v>
      </c>
      <c r="H261" s="424"/>
      <c r="I261" s="425"/>
      <c r="J261" s="426"/>
      <c r="K261" s="425"/>
      <c r="L261" s="427"/>
      <c r="M261" s="428"/>
      <c r="N261" s="460"/>
      <c r="O261" s="656"/>
      <c r="P261" s="657"/>
      <c r="Q261" s="395" t="str">
        <f t="shared" si="32"/>
        <v>차열재|50T*400*3600|</v>
      </c>
      <c r="T261" s="107"/>
    </row>
    <row r="262" spans="1:20" ht="17.25" thickBot="1">
      <c r="A262" s="513">
        <f t="shared" si="33"/>
        <v>254</v>
      </c>
      <c r="B262" s="487" t="s">
        <v>293</v>
      </c>
      <c r="C262" s="280" t="s">
        <v>294</v>
      </c>
      <c r="D262" s="280"/>
      <c r="E262" s="58">
        <v>3790</v>
      </c>
      <c r="F262" s="58">
        <f t="shared" si="29"/>
        <v>7580</v>
      </c>
      <c r="G262" s="240">
        <f t="shared" si="30"/>
        <v>4320</v>
      </c>
      <c r="H262" s="241"/>
      <c r="I262" s="242"/>
      <c r="J262" s="375"/>
      <c r="K262" s="243"/>
      <c r="L262" s="244"/>
      <c r="M262" s="245"/>
      <c r="N262" s="461"/>
      <c r="O262" s="652"/>
      <c r="P262" s="653"/>
      <c r="Q262" s="395" t="str">
        <f>B262&amp;"|"&amp;C262&amp;"|"&amp;D262</f>
        <v>실란트|300ml/통|</v>
      </c>
    </row>
    <row r="263" spans="1:20">
      <c r="A263" s="498">
        <f t="shared" si="26"/>
        <v>255</v>
      </c>
      <c r="B263" s="488" t="s">
        <v>280</v>
      </c>
      <c r="C263" s="281" t="s">
        <v>295</v>
      </c>
      <c r="D263" s="254"/>
      <c r="E263" s="255">
        <v>6900</v>
      </c>
      <c r="F263" s="255">
        <f t="shared" si="29"/>
        <v>13800</v>
      </c>
      <c r="G263" s="256">
        <f t="shared" si="30"/>
        <v>7860</v>
      </c>
      <c r="H263" s="257"/>
      <c r="I263" s="136"/>
      <c r="J263" s="366"/>
      <c r="K263" s="136"/>
      <c r="L263" s="137"/>
      <c r="M263" s="138"/>
      <c r="N263" s="462"/>
      <c r="O263" s="650"/>
      <c r="P263" s="651"/>
      <c r="Q263" s="395" t="str">
        <f>B263&amp;"|"&amp;C263&amp;"|"&amp;D263</f>
        <v>오배수_섹스티아|D100*A100|</v>
      </c>
      <c r="T263" s="107"/>
    </row>
    <row r="264" spans="1:20">
      <c r="A264" s="494">
        <f t="shared" si="26"/>
        <v>256</v>
      </c>
      <c r="B264" s="485" t="s">
        <v>280</v>
      </c>
      <c r="C264" s="282" t="s">
        <v>296</v>
      </c>
      <c r="D264" s="258"/>
      <c r="E264" s="259">
        <v>6800</v>
      </c>
      <c r="F264" s="259">
        <f t="shared" si="29"/>
        <v>13600</v>
      </c>
      <c r="G264" s="135">
        <f t="shared" si="30"/>
        <v>7750</v>
      </c>
      <c r="H264" s="209"/>
      <c r="I264" s="139"/>
      <c r="J264" s="367"/>
      <c r="K264" s="139"/>
      <c r="L264" s="140"/>
      <c r="M264" s="141"/>
      <c r="N264" s="459"/>
      <c r="O264" s="605"/>
      <c r="P264" s="606"/>
      <c r="Q264" s="395" t="str">
        <f t="shared" ref="Q264:Q327" si="34">B264&amp;"|"&amp;C264&amp;"|"&amp;D264</f>
        <v>오배수_섹스티아|D100*A75|</v>
      </c>
      <c r="T264" s="107"/>
    </row>
    <row r="265" spans="1:20">
      <c r="A265" s="494">
        <f t="shared" si="26"/>
        <v>257</v>
      </c>
      <c r="B265" s="485" t="s">
        <v>280</v>
      </c>
      <c r="C265" s="282" t="s">
        <v>297</v>
      </c>
      <c r="D265" s="258"/>
      <c r="E265" s="259">
        <v>6700</v>
      </c>
      <c r="F265" s="259">
        <f t="shared" si="29"/>
        <v>13400</v>
      </c>
      <c r="G265" s="135">
        <f t="shared" si="30"/>
        <v>7630</v>
      </c>
      <c r="H265" s="209"/>
      <c r="I265" s="139"/>
      <c r="J265" s="367"/>
      <c r="K265" s="139"/>
      <c r="L265" s="140"/>
      <c r="M265" s="141"/>
      <c r="N265" s="459"/>
      <c r="O265" s="605"/>
      <c r="P265" s="606"/>
      <c r="Q265" s="395" t="str">
        <f t="shared" si="34"/>
        <v>오배수_섹스티아|D100*A50|</v>
      </c>
      <c r="T265" s="107"/>
    </row>
    <row r="266" spans="1:20">
      <c r="A266" s="494">
        <f t="shared" si="26"/>
        <v>258</v>
      </c>
      <c r="B266" s="485" t="s">
        <v>280</v>
      </c>
      <c r="C266" s="282" t="s">
        <v>298</v>
      </c>
      <c r="D266" s="258"/>
      <c r="E266" s="259">
        <v>5900</v>
      </c>
      <c r="F266" s="259">
        <f t="shared" si="29"/>
        <v>11800</v>
      </c>
      <c r="G266" s="135">
        <f t="shared" si="30"/>
        <v>6720</v>
      </c>
      <c r="H266" s="209"/>
      <c r="I266" s="139"/>
      <c r="J266" s="367"/>
      <c r="K266" s="139"/>
      <c r="L266" s="140"/>
      <c r="M266" s="141"/>
      <c r="N266" s="459"/>
      <c r="O266" s="605"/>
      <c r="P266" s="606"/>
      <c r="Q266" s="395" t="str">
        <f t="shared" si="34"/>
        <v>오배수_섹스티아|D75*A75|</v>
      </c>
      <c r="T266" s="107"/>
    </row>
    <row r="267" spans="1:20">
      <c r="A267" s="494">
        <f t="shared" si="26"/>
        <v>259</v>
      </c>
      <c r="B267" s="485" t="s">
        <v>280</v>
      </c>
      <c r="C267" s="282" t="s">
        <v>299</v>
      </c>
      <c r="D267" s="258"/>
      <c r="E267" s="259">
        <v>5700</v>
      </c>
      <c r="F267" s="259">
        <f t="shared" si="29"/>
        <v>11400</v>
      </c>
      <c r="G267" s="135">
        <f t="shared" si="30"/>
        <v>6490</v>
      </c>
      <c r="H267" s="209"/>
      <c r="I267" s="139"/>
      <c r="J267" s="367"/>
      <c r="K267" s="139"/>
      <c r="L267" s="140"/>
      <c r="M267" s="141"/>
      <c r="N267" s="459"/>
      <c r="O267" s="605"/>
      <c r="P267" s="606"/>
      <c r="Q267" s="395" t="str">
        <f t="shared" si="34"/>
        <v>오배수_섹스티아|D75*A50|</v>
      </c>
      <c r="T267" s="107"/>
    </row>
    <row r="268" spans="1:20">
      <c r="A268" s="494">
        <f t="shared" ref="A268:A331" si="35">A267+1</f>
        <v>260</v>
      </c>
      <c r="B268" s="485" t="s">
        <v>281</v>
      </c>
      <c r="C268" s="282" t="s">
        <v>295</v>
      </c>
      <c r="D268" s="258"/>
      <c r="E268" s="259">
        <v>7950</v>
      </c>
      <c r="F268" s="259">
        <f t="shared" si="29"/>
        <v>15900</v>
      </c>
      <c r="G268" s="135">
        <f t="shared" si="30"/>
        <v>9060</v>
      </c>
      <c r="H268" s="209"/>
      <c r="I268" s="139"/>
      <c r="J268" s="367"/>
      <c r="K268" s="139"/>
      <c r="L268" s="140"/>
      <c r="M268" s="141"/>
      <c r="N268" s="459"/>
      <c r="O268" s="605"/>
      <c r="P268" s="606"/>
      <c r="Q268" s="395" t="str">
        <f t="shared" si="34"/>
        <v>투명_오배수_섹스티아|D100*A100|</v>
      </c>
      <c r="T268" s="107"/>
    </row>
    <row r="269" spans="1:20">
      <c r="A269" s="494">
        <f t="shared" si="35"/>
        <v>261</v>
      </c>
      <c r="B269" s="485" t="s">
        <v>281</v>
      </c>
      <c r="C269" s="282" t="s">
        <v>296</v>
      </c>
      <c r="D269" s="258"/>
      <c r="E269" s="259">
        <v>7500</v>
      </c>
      <c r="F269" s="259">
        <f t="shared" si="29"/>
        <v>15000</v>
      </c>
      <c r="G269" s="135">
        <f t="shared" si="30"/>
        <v>8550</v>
      </c>
      <c r="H269" s="209"/>
      <c r="I269" s="139"/>
      <c r="J269" s="367"/>
      <c r="K269" s="139"/>
      <c r="L269" s="140"/>
      <c r="M269" s="141"/>
      <c r="N269" s="459"/>
      <c r="O269" s="605"/>
      <c r="P269" s="606"/>
      <c r="Q269" s="395" t="str">
        <f t="shared" si="34"/>
        <v>투명_오배수_섹스티아|D100*A75|</v>
      </c>
      <c r="T269" s="107"/>
    </row>
    <row r="270" spans="1:20">
      <c r="A270" s="494">
        <f t="shared" si="35"/>
        <v>262</v>
      </c>
      <c r="B270" s="485" t="s">
        <v>281</v>
      </c>
      <c r="C270" s="282" t="s">
        <v>297</v>
      </c>
      <c r="D270" s="258"/>
      <c r="E270" s="259">
        <v>7400</v>
      </c>
      <c r="F270" s="259">
        <f t="shared" si="29"/>
        <v>14800</v>
      </c>
      <c r="G270" s="135">
        <f t="shared" si="30"/>
        <v>8430</v>
      </c>
      <c r="H270" s="209"/>
      <c r="I270" s="139"/>
      <c r="J270" s="367"/>
      <c r="K270" s="139"/>
      <c r="L270" s="140"/>
      <c r="M270" s="141"/>
      <c r="N270" s="459"/>
      <c r="O270" s="605"/>
      <c r="P270" s="606"/>
      <c r="Q270" s="395" t="str">
        <f t="shared" si="34"/>
        <v>투명_오배수_섹스티아|D100*A50|</v>
      </c>
      <c r="T270" s="107"/>
    </row>
    <row r="271" spans="1:20">
      <c r="A271" s="494">
        <f t="shared" si="35"/>
        <v>263</v>
      </c>
      <c r="B271" s="485" t="s">
        <v>281</v>
      </c>
      <c r="C271" s="285" t="s">
        <v>299</v>
      </c>
      <c r="D271" s="286"/>
      <c r="E271" s="287">
        <v>6300</v>
      </c>
      <c r="F271" s="287">
        <f t="shared" si="29"/>
        <v>12600</v>
      </c>
      <c r="G271" s="288">
        <f t="shared" si="30"/>
        <v>7180</v>
      </c>
      <c r="H271" s="289"/>
      <c r="I271" s="290"/>
      <c r="J271" s="367"/>
      <c r="K271" s="290"/>
      <c r="L271" s="291"/>
      <c r="M271" s="292"/>
      <c r="N271" s="459"/>
      <c r="O271" s="605"/>
      <c r="P271" s="649"/>
      <c r="Q271" s="395" t="str">
        <f t="shared" si="34"/>
        <v>투명_오배수_섹스티아|D75*A50|</v>
      </c>
      <c r="T271" s="107"/>
    </row>
    <row r="272" spans="1:20">
      <c r="A272" s="494">
        <f t="shared" si="35"/>
        <v>264</v>
      </c>
      <c r="B272" s="484" t="s">
        <v>300</v>
      </c>
      <c r="C272" s="283" t="s">
        <v>301</v>
      </c>
      <c r="D272" s="284"/>
      <c r="E272" s="47">
        <v>10940</v>
      </c>
      <c r="F272" s="47">
        <f t="shared" si="29"/>
        <v>21880</v>
      </c>
      <c r="G272" s="152">
        <f t="shared" si="30"/>
        <v>12470</v>
      </c>
      <c r="H272" s="232"/>
      <c r="I272" s="233"/>
      <c r="J272" s="372"/>
      <c r="K272" s="233"/>
      <c r="L272" s="248"/>
      <c r="M272" s="249"/>
      <c r="N272" s="458"/>
      <c r="O272" s="599"/>
      <c r="P272" s="600"/>
      <c r="Q272" s="12" t="str">
        <f t="shared" si="34"/>
        <v>PJS_매립형섹스티아|D50*H130*A50|</v>
      </c>
    </row>
    <row r="273" spans="1:17">
      <c r="A273" s="494">
        <f t="shared" si="35"/>
        <v>265</v>
      </c>
      <c r="B273" s="485" t="s">
        <v>300</v>
      </c>
      <c r="C273" s="282" t="s">
        <v>302</v>
      </c>
      <c r="D273" s="258"/>
      <c r="E273" s="259">
        <v>11000</v>
      </c>
      <c r="F273" s="259">
        <f t="shared" si="29"/>
        <v>22000</v>
      </c>
      <c r="G273" s="135">
        <f t="shared" si="30"/>
        <v>12540</v>
      </c>
      <c r="H273" s="209"/>
      <c r="I273" s="139"/>
      <c r="J273" s="367"/>
      <c r="K273" s="139"/>
      <c r="L273" s="140"/>
      <c r="M273" s="141"/>
      <c r="N273" s="459"/>
      <c r="O273" s="605"/>
      <c r="P273" s="606"/>
      <c r="Q273" s="12" t="str">
        <f t="shared" si="34"/>
        <v>PJS_매립형섹스티아|D50*H150*A50|</v>
      </c>
    </row>
    <row r="274" spans="1:17">
      <c r="A274" s="494">
        <f t="shared" si="35"/>
        <v>266</v>
      </c>
      <c r="B274" s="485" t="s">
        <v>300</v>
      </c>
      <c r="C274" s="282" t="s">
        <v>303</v>
      </c>
      <c r="D274" s="258"/>
      <c r="E274" s="259">
        <v>11060</v>
      </c>
      <c r="F274" s="259">
        <f t="shared" si="29"/>
        <v>22120</v>
      </c>
      <c r="G274" s="135">
        <f t="shared" si="30"/>
        <v>12600</v>
      </c>
      <c r="H274" s="209"/>
      <c r="I274" s="139"/>
      <c r="J274" s="367"/>
      <c r="K274" s="139"/>
      <c r="L274" s="140"/>
      <c r="M274" s="141"/>
      <c r="N274" s="459"/>
      <c r="O274" s="605"/>
      <c r="P274" s="606"/>
      <c r="Q274" s="12" t="str">
        <f t="shared" si="34"/>
        <v>PJS_매립형섹스티아|D50*H180*A50|</v>
      </c>
    </row>
    <row r="275" spans="1:17">
      <c r="A275" s="494">
        <f t="shared" si="35"/>
        <v>267</v>
      </c>
      <c r="B275" s="485" t="s">
        <v>300</v>
      </c>
      <c r="C275" s="282" t="s">
        <v>304</v>
      </c>
      <c r="D275" s="258"/>
      <c r="E275" s="259">
        <v>11190</v>
      </c>
      <c r="F275" s="259">
        <f t="shared" si="29"/>
        <v>22380</v>
      </c>
      <c r="G275" s="135">
        <f t="shared" si="30"/>
        <v>12750</v>
      </c>
      <c r="H275" s="209"/>
      <c r="I275" s="139"/>
      <c r="J275" s="367"/>
      <c r="K275" s="139"/>
      <c r="L275" s="140"/>
      <c r="M275" s="141"/>
      <c r="N275" s="459"/>
      <c r="O275" s="605"/>
      <c r="P275" s="606"/>
      <c r="Q275" s="12" t="str">
        <f t="shared" si="34"/>
        <v>PJS_매립형섹스티아|D50*H210*A50|</v>
      </c>
    </row>
    <row r="276" spans="1:17">
      <c r="A276" s="494">
        <f t="shared" si="35"/>
        <v>268</v>
      </c>
      <c r="B276" s="485" t="s">
        <v>300</v>
      </c>
      <c r="C276" s="282" t="s">
        <v>305</v>
      </c>
      <c r="D276" s="258"/>
      <c r="E276" s="259">
        <v>11250</v>
      </c>
      <c r="F276" s="259">
        <f t="shared" si="29"/>
        <v>22500</v>
      </c>
      <c r="G276" s="135">
        <f t="shared" si="30"/>
        <v>12820</v>
      </c>
      <c r="H276" s="209"/>
      <c r="I276" s="139"/>
      <c r="J276" s="367"/>
      <c r="K276" s="139"/>
      <c r="L276" s="140"/>
      <c r="M276" s="141"/>
      <c r="N276" s="459"/>
      <c r="O276" s="605"/>
      <c r="P276" s="606"/>
      <c r="Q276" s="12" t="str">
        <f t="shared" si="34"/>
        <v>PJS_매립형섹스티아|D50*H235*A50|</v>
      </c>
    </row>
    <row r="277" spans="1:17">
      <c r="A277" s="494">
        <f t="shared" si="35"/>
        <v>269</v>
      </c>
      <c r="B277" s="485" t="s">
        <v>300</v>
      </c>
      <c r="C277" s="282" t="s">
        <v>306</v>
      </c>
      <c r="D277" s="258"/>
      <c r="E277" s="259">
        <v>11340</v>
      </c>
      <c r="F277" s="259">
        <f t="shared" si="29"/>
        <v>22680</v>
      </c>
      <c r="G277" s="135">
        <f t="shared" si="30"/>
        <v>12920</v>
      </c>
      <c r="H277" s="209"/>
      <c r="I277" s="139"/>
      <c r="J277" s="367"/>
      <c r="K277" s="139"/>
      <c r="L277" s="140"/>
      <c r="M277" s="141"/>
      <c r="N277" s="459"/>
      <c r="O277" s="605"/>
      <c r="P277" s="606"/>
      <c r="Q277" s="12" t="str">
        <f t="shared" si="34"/>
        <v>PJS_매립형섹스티아|D75*H150*A50|</v>
      </c>
    </row>
    <row r="278" spans="1:17">
      <c r="A278" s="494">
        <f t="shared" si="35"/>
        <v>270</v>
      </c>
      <c r="B278" s="485" t="s">
        <v>300</v>
      </c>
      <c r="C278" s="282" t="s">
        <v>307</v>
      </c>
      <c r="D278" s="258"/>
      <c r="E278" s="259">
        <v>11400</v>
      </c>
      <c r="F278" s="259">
        <f t="shared" si="29"/>
        <v>22800</v>
      </c>
      <c r="G278" s="135">
        <f t="shared" si="30"/>
        <v>12990</v>
      </c>
      <c r="H278" s="209"/>
      <c r="I278" s="139"/>
      <c r="J278" s="367"/>
      <c r="K278" s="139"/>
      <c r="L278" s="140"/>
      <c r="M278" s="141"/>
      <c r="N278" s="459"/>
      <c r="O278" s="605"/>
      <c r="P278" s="606"/>
      <c r="Q278" s="12" t="str">
        <f t="shared" si="34"/>
        <v>PJS_매립형섹스티아|D75*H180*A50|</v>
      </c>
    </row>
    <row r="279" spans="1:17">
      <c r="A279" s="494">
        <f t="shared" si="35"/>
        <v>271</v>
      </c>
      <c r="B279" s="485" t="s">
        <v>300</v>
      </c>
      <c r="C279" s="282" t="s">
        <v>308</v>
      </c>
      <c r="D279" s="258"/>
      <c r="E279" s="259">
        <v>11460</v>
      </c>
      <c r="F279" s="259">
        <f t="shared" si="29"/>
        <v>22920</v>
      </c>
      <c r="G279" s="135">
        <f t="shared" si="30"/>
        <v>13060</v>
      </c>
      <c r="H279" s="209"/>
      <c r="I279" s="139"/>
      <c r="J279" s="367"/>
      <c r="K279" s="139"/>
      <c r="L279" s="140"/>
      <c r="M279" s="141"/>
      <c r="N279" s="459"/>
      <c r="O279" s="605"/>
      <c r="P279" s="606"/>
      <c r="Q279" s="12" t="str">
        <f t="shared" si="34"/>
        <v>PJS_매립형섹스티아|D75*H200*A50|</v>
      </c>
    </row>
    <row r="280" spans="1:17">
      <c r="A280" s="494">
        <f t="shared" si="35"/>
        <v>272</v>
      </c>
      <c r="B280" s="485" t="s">
        <v>300</v>
      </c>
      <c r="C280" s="282" t="s">
        <v>309</v>
      </c>
      <c r="D280" s="258"/>
      <c r="E280" s="259">
        <v>11530</v>
      </c>
      <c r="F280" s="259">
        <f t="shared" si="29"/>
        <v>23060</v>
      </c>
      <c r="G280" s="135">
        <f t="shared" si="30"/>
        <v>13140</v>
      </c>
      <c r="H280" s="209"/>
      <c r="I280" s="139"/>
      <c r="J280" s="367"/>
      <c r="K280" s="139"/>
      <c r="L280" s="140"/>
      <c r="M280" s="141"/>
      <c r="N280" s="459"/>
      <c r="O280" s="605"/>
      <c r="P280" s="606"/>
      <c r="Q280" s="12" t="str">
        <f t="shared" si="34"/>
        <v>PJS_매립형섹스티아|D75*H210*A50|</v>
      </c>
    </row>
    <row r="281" spans="1:17">
      <c r="A281" s="494">
        <f t="shared" si="35"/>
        <v>273</v>
      </c>
      <c r="B281" s="485" t="s">
        <v>300</v>
      </c>
      <c r="C281" s="282" t="s">
        <v>310</v>
      </c>
      <c r="D281" s="258"/>
      <c r="E281" s="259">
        <v>12110</v>
      </c>
      <c r="F281" s="259">
        <f t="shared" si="29"/>
        <v>24220</v>
      </c>
      <c r="G281" s="135">
        <f t="shared" si="30"/>
        <v>13800</v>
      </c>
      <c r="H281" s="209"/>
      <c r="I281" s="139"/>
      <c r="J281" s="367"/>
      <c r="K281" s="139"/>
      <c r="L281" s="140"/>
      <c r="M281" s="141"/>
      <c r="N281" s="459"/>
      <c r="O281" s="605"/>
      <c r="P281" s="606"/>
      <c r="Q281" s="12" t="str">
        <f t="shared" si="34"/>
        <v>PJS_매립형섹스티아|D100*H150*A50|</v>
      </c>
    </row>
    <row r="282" spans="1:17">
      <c r="A282" s="494">
        <f t="shared" si="35"/>
        <v>274</v>
      </c>
      <c r="B282" s="485" t="s">
        <v>300</v>
      </c>
      <c r="C282" s="282" t="s">
        <v>311</v>
      </c>
      <c r="D282" s="258"/>
      <c r="E282" s="259">
        <v>12180</v>
      </c>
      <c r="F282" s="259">
        <f t="shared" si="29"/>
        <v>24360</v>
      </c>
      <c r="G282" s="135">
        <f t="shared" si="30"/>
        <v>13880</v>
      </c>
      <c r="H282" s="209"/>
      <c r="I282" s="139"/>
      <c r="J282" s="367"/>
      <c r="K282" s="139"/>
      <c r="L282" s="140"/>
      <c r="M282" s="141"/>
      <c r="N282" s="459"/>
      <c r="O282" s="605"/>
      <c r="P282" s="606"/>
      <c r="Q282" s="12" t="str">
        <f t="shared" si="34"/>
        <v>PJS_매립형섹스티아|D100*H180*A50|</v>
      </c>
    </row>
    <row r="283" spans="1:17">
      <c r="A283" s="494">
        <f t="shared" si="35"/>
        <v>275</v>
      </c>
      <c r="B283" s="485" t="s">
        <v>300</v>
      </c>
      <c r="C283" s="282" t="s">
        <v>312</v>
      </c>
      <c r="D283" s="258"/>
      <c r="E283" s="259">
        <v>12240</v>
      </c>
      <c r="F283" s="259">
        <f t="shared" si="29"/>
        <v>24480</v>
      </c>
      <c r="G283" s="135">
        <f t="shared" si="30"/>
        <v>13950</v>
      </c>
      <c r="H283" s="209"/>
      <c r="I283" s="139"/>
      <c r="J283" s="367"/>
      <c r="K283" s="139"/>
      <c r="L283" s="140"/>
      <c r="M283" s="141"/>
      <c r="N283" s="459"/>
      <c r="O283" s="605"/>
      <c r="P283" s="606"/>
      <c r="Q283" s="12" t="str">
        <f t="shared" si="34"/>
        <v>PJS_매립형섹스티아|D100*H200*A50|</v>
      </c>
    </row>
    <row r="284" spans="1:17">
      <c r="A284" s="494">
        <f t="shared" si="35"/>
        <v>276</v>
      </c>
      <c r="B284" s="485" t="s">
        <v>300</v>
      </c>
      <c r="C284" s="282" t="s">
        <v>313</v>
      </c>
      <c r="D284" s="258"/>
      <c r="E284" s="259">
        <v>12360</v>
      </c>
      <c r="F284" s="259">
        <f t="shared" si="29"/>
        <v>24720</v>
      </c>
      <c r="G284" s="135">
        <f t="shared" si="30"/>
        <v>14090</v>
      </c>
      <c r="H284" s="209"/>
      <c r="I284" s="139"/>
      <c r="J284" s="367"/>
      <c r="K284" s="139"/>
      <c r="L284" s="140"/>
      <c r="M284" s="141"/>
      <c r="N284" s="459"/>
      <c r="O284" s="605"/>
      <c r="P284" s="606"/>
      <c r="Q284" s="12" t="str">
        <f t="shared" si="34"/>
        <v>PJS_매립형섹스티아|D100*H210*A50|</v>
      </c>
    </row>
    <row r="285" spans="1:17">
      <c r="A285" s="494">
        <f t="shared" si="35"/>
        <v>277</v>
      </c>
      <c r="B285" s="485" t="s">
        <v>314</v>
      </c>
      <c r="C285" s="282" t="s">
        <v>299</v>
      </c>
      <c r="D285" s="258"/>
      <c r="E285" s="259">
        <v>2250</v>
      </c>
      <c r="F285" s="259">
        <f t="shared" ref="F285:F348" si="36">E285*$C$4</f>
        <v>4500</v>
      </c>
      <c r="G285" s="135">
        <f t="shared" si="30"/>
        <v>2560</v>
      </c>
      <c r="H285" s="209"/>
      <c r="I285" s="139"/>
      <c r="J285" s="367"/>
      <c r="K285" s="139"/>
      <c r="L285" s="140"/>
      <c r="M285" s="141"/>
      <c r="N285" s="459"/>
      <c r="O285" s="605"/>
      <c r="P285" s="606"/>
      <c r="Q285" s="12" t="str">
        <f t="shared" si="34"/>
        <v>싱크용_섹스티아_노출용|D75*A50|</v>
      </c>
    </row>
    <row r="286" spans="1:17">
      <c r="A286" s="494">
        <f t="shared" si="35"/>
        <v>278</v>
      </c>
      <c r="B286" s="485" t="s">
        <v>314</v>
      </c>
      <c r="C286" s="282" t="s">
        <v>297</v>
      </c>
      <c r="D286" s="258"/>
      <c r="E286" s="259">
        <v>2950</v>
      </c>
      <c r="F286" s="259">
        <f t="shared" si="36"/>
        <v>5900</v>
      </c>
      <c r="G286" s="135">
        <f t="shared" ref="G286:G349" si="37">FLOOR(F286*$H$4,10)</f>
        <v>3360</v>
      </c>
      <c r="H286" s="209"/>
      <c r="I286" s="139"/>
      <c r="J286" s="367"/>
      <c r="K286" s="139"/>
      <c r="L286" s="140"/>
      <c r="M286" s="141"/>
      <c r="N286" s="459"/>
      <c r="O286" s="605"/>
      <c r="P286" s="606"/>
      <c r="Q286" s="12" t="str">
        <f t="shared" si="34"/>
        <v>싱크용_섹스티아_노출용|D100*A50|</v>
      </c>
    </row>
    <row r="287" spans="1:17">
      <c r="A287" s="494">
        <f t="shared" si="35"/>
        <v>279</v>
      </c>
      <c r="B287" s="485" t="s">
        <v>315</v>
      </c>
      <c r="C287" s="282" t="s">
        <v>296</v>
      </c>
      <c r="D287" s="258"/>
      <c r="E287" s="259">
        <v>3750</v>
      </c>
      <c r="F287" s="259">
        <f t="shared" si="36"/>
        <v>7500</v>
      </c>
      <c r="G287" s="135">
        <f t="shared" si="37"/>
        <v>4270</v>
      </c>
      <c r="H287" s="209"/>
      <c r="I287" s="139"/>
      <c r="J287" s="367"/>
      <c r="K287" s="139"/>
      <c r="L287" s="140"/>
      <c r="M287" s="141"/>
      <c r="N287" s="459"/>
      <c r="O287" s="605"/>
      <c r="P287" s="606"/>
      <c r="Q287" s="12" t="str">
        <f t="shared" si="34"/>
        <v>층상용_섹스티아_노출용|D100*A75|</v>
      </c>
    </row>
    <row r="288" spans="1:17" ht="17.25" thickBot="1">
      <c r="A288" s="495">
        <f t="shared" si="35"/>
        <v>280</v>
      </c>
      <c r="B288" s="486" t="s">
        <v>315</v>
      </c>
      <c r="C288" s="293" t="s">
        <v>295</v>
      </c>
      <c r="D288" s="294"/>
      <c r="E288" s="295">
        <v>4200</v>
      </c>
      <c r="F288" s="295">
        <f t="shared" si="36"/>
        <v>8400</v>
      </c>
      <c r="G288" s="296">
        <f t="shared" si="37"/>
        <v>4780</v>
      </c>
      <c r="H288" s="297"/>
      <c r="I288" s="298"/>
      <c r="J288" s="369"/>
      <c r="K288" s="298"/>
      <c r="L288" s="299"/>
      <c r="M288" s="300"/>
      <c r="N288" s="460"/>
      <c r="O288" s="658"/>
      <c r="P288" s="659"/>
      <c r="Q288" s="12" t="str">
        <f t="shared" si="34"/>
        <v>층상용_섹스티아_노출용|D100*A100|</v>
      </c>
    </row>
    <row r="289" spans="1:17">
      <c r="A289" s="498">
        <f t="shared" si="35"/>
        <v>281</v>
      </c>
      <c r="B289" s="489" t="s">
        <v>316</v>
      </c>
      <c r="C289" s="301" t="s">
        <v>317</v>
      </c>
      <c r="D289" s="302"/>
      <c r="E289" s="303">
        <v>9540</v>
      </c>
      <c r="F289" s="303">
        <f t="shared" si="36"/>
        <v>19080</v>
      </c>
      <c r="G289" s="220">
        <f t="shared" si="37"/>
        <v>10870</v>
      </c>
      <c r="H289" s="49"/>
      <c r="I289" s="115"/>
      <c r="J289" s="370"/>
      <c r="K289" s="115"/>
      <c r="L289" s="221"/>
      <c r="M289" s="222"/>
      <c r="N289" s="456"/>
      <c r="O289" s="576"/>
      <c r="P289" s="577"/>
      <c r="Q289" s="12" t="str">
        <f t="shared" si="34"/>
        <v>PJS_방화용_슬리브|D50*H150|</v>
      </c>
    </row>
    <row r="290" spans="1:17">
      <c r="A290" s="494">
        <f t="shared" si="35"/>
        <v>282</v>
      </c>
      <c r="B290" s="490" t="s">
        <v>316</v>
      </c>
      <c r="C290" s="304" t="s">
        <v>318</v>
      </c>
      <c r="D290" s="305"/>
      <c r="E290" s="306">
        <v>9660</v>
      </c>
      <c r="F290" s="306">
        <f t="shared" si="36"/>
        <v>19320</v>
      </c>
      <c r="G290" s="307">
        <f t="shared" si="37"/>
        <v>11010</v>
      </c>
      <c r="H290" s="308"/>
      <c r="I290" s="309"/>
      <c r="J290" s="368"/>
      <c r="K290" s="309"/>
      <c r="L290" s="310"/>
      <c r="M290" s="311"/>
      <c r="N290" s="452"/>
      <c r="O290" s="660"/>
      <c r="P290" s="661"/>
      <c r="Q290" s="12" t="str">
        <f t="shared" si="34"/>
        <v>PJS_방화용_슬리브|D50*H180|</v>
      </c>
    </row>
    <row r="291" spans="1:17">
      <c r="A291" s="494">
        <f t="shared" si="35"/>
        <v>283</v>
      </c>
      <c r="B291" s="490" t="s">
        <v>316</v>
      </c>
      <c r="C291" s="304" t="s">
        <v>319</v>
      </c>
      <c r="D291" s="305"/>
      <c r="E291" s="306">
        <v>9790</v>
      </c>
      <c r="F291" s="306">
        <f t="shared" si="36"/>
        <v>19580</v>
      </c>
      <c r="G291" s="307">
        <f t="shared" si="37"/>
        <v>11160</v>
      </c>
      <c r="H291" s="308"/>
      <c r="I291" s="309"/>
      <c r="J291" s="368"/>
      <c r="K291" s="309"/>
      <c r="L291" s="310"/>
      <c r="M291" s="311"/>
      <c r="N291" s="452"/>
      <c r="O291" s="660"/>
      <c r="P291" s="661"/>
      <c r="Q291" s="12" t="str">
        <f t="shared" si="34"/>
        <v>PJS_방화용_슬리브|D50*H200|</v>
      </c>
    </row>
    <row r="292" spans="1:17">
      <c r="A292" s="494">
        <f t="shared" si="35"/>
        <v>284</v>
      </c>
      <c r="B292" s="490" t="s">
        <v>316</v>
      </c>
      <c r="C292" s="304" t="s">
        <v>320</v>
      </c>
      <c r="D292" s="305"/>
      <c r="E292" s="306">
        <v>9930</v>
      </c>
      <c r="F292" s="306">
        <f t="shared" si="36"/>
        <v>19860</v>
      </c>
      <c r="G292" s="307">
        <f t="shared" si="37"/>
        <v>11320</v>
      </c>
      <c r="H292" s="308"/>
      <c r="I292" s="309"/>
      <c r="J292" s="368"/>
      <c r="K292" s="309"/>
      <c r="L292" s="310"/>
      <c r="M292" s="311"/>
      <c r="N292" s="452"/>
      <c r="O292" s="660"/>
      <c r="P292" s="661"/>
      <c r="Q292" s="12" t="str">
        <f t="shared" si="34"/>
        <v>PJS_방화용_슬리브|D50*H210|</v>
      </c>
    </row>
    <row r="293" spans="1:17">
      <c r="A293" s="494">
        <f t="shared" si="35"/>
        <v>285</v>
      </c>
      <c r="B293" s="490" t="s">
        <v>316</v>
      </c>
      <c r="C293" s="304" t="s">
        <v>321</v>
      </c>
      <c r="D293" s="305"/>
      <c r="E293" s="306">
        <v>10500</v>
      </c>
      <c r="F293" s="306">
        <f t="shared" si="36"/>
        <v>21000</v>
      </c>
      <c r="G293" s="307">
        <f t="shared" si="37"/>
        <v>11970</v>
      </c>
      <c r="H293" s="308"/>
      <c r="I293" s="309"/>
      <c r="J293" s="368"/>
      <c r="K293" s="309"/>
      <c r="L293" s="310"/>
      <c r="M293" s="311"/>
      <c r="N293" s="452"/>
      <c r="O293" s="660"/>
      <c r="P293" s="661"/>
      <c r="Q293" s="12" t="str">
        <f t="shared" si="34"/>
        <v>PJS_방화용_슬리브|D75*H150|</v>
      </c>
    </row>
    <row r="294" spans="1:17">
      <c r="A294" s="494">
        <f t="shared" si="35"/>
        <v>286</v>
      </c>
      <c r="B294" s="490" t="s">
        <v>316</v>
      </c>
      <c r="C294" s="304" t="s">
        <v>322</v>
      </c>
      <c r="D294" s="305"/>
      <c r="E294" s="306">
        <v>10690</v>
      </c>
      <c r="F294" s="306">
        <f t="shared" si="36"/>
        <v>21380</v>
      </c>
      <c r="G294" s="307">
        <f t="shared" si="37"/>
        <v>12180</v>
      </c>
      <c r="H294" s="308"/>
      <c r="I294" s="309"/>
      <c r="J294" s="368"/>
      <c r="K294" s="309"/>
      <c r="L294" s="310"/>
      <c r="M294" s="311"/>
      <c r="N294" s="452"/>
      <c r="O294" s="660"/>
      <c r="P294" s="661"/>
      <c r="Q294" s="12" t="str">
        <f t="shared" si="34"/>
        <v>PJS_방화용_슬리브|D75*H180|</v>
      </c>
    </row>
    <row r="295" spans="1:17">
      <c r="A295" s="494">
        <f t="shared" si="35"/>
        <v>287</v>
      </c>
      <c r="B295" s="490" t="s">
        <v>316</v>
      </c>
      <c r="C295" s="304" t="s">
        <v>323</v>
      </c>
      <c r="D295" s="305"/>
      <c r="E295" s="306">
        <v>10830</v>
      </c>
      <c r="F295" s="306">
        <f t="shared" si="36"/>
        <v>21660</v>
      </c>
      <c r="G295" s="307">
        <f t="shared" si="37"/>
        <v>12340</v>
      </c>
      <c r="H295" s="308"/>
      <c r="I295" s="309"/>
      <c r="J295" s="368"/>
      <c r="K295" s="309"/>
      <c r="L295" s="310"/>
      <c r="M295" s="311"/>
      <c r="N295" s="452"/>
      <c r="O295" s="660"/>
      <c r="P295" s="661"/>
      <c r="Q295" s="12" t="str">
        <f t="shared" si="34"/>
        <v>PJS_방화용_슬리브|D75*H200|</v>
      </c>
    </row>
    <row r="296" spans="1:17">
      <c r="A296" s="494">
        <f t="shared" si="35"/>
        <v>288</v>
      </c>
      <c r="B296" s="490" t="s">
        <v>316</v>
      </c>
      <c r="C296" s="304" t="s">
        <v>324</v>
      </c>
      <c r="D296" s="305"/>
      <c r="E296" s="306">
        <v>10950</v>
      </c>
      <c r="F296" s="306">
        <f t="shared" si="36"/>
        <v>21900</v>
      </c>
      <c r="G296" s="307">
        <f t="shared" si="37"/>
        <v>12480</v>
      </c>
      <c r="H296" s="308"/>
      <c r="I296" s="309"/>
      <c r="J296" s="368"/>
      <c r="K296" s="309"/>
      <c r="L296" s="310"/>
      <c r="M296" s="311"/>
      <c r="N296" s="452"/>
      <c r="O296" s="660"/>
      <c r="P296" s="661"/>
      <c r="Q296" s="12" t="str">
        <f t="shared" si="34"/>
        <v>PJS_방화용_슬리브|D75*H210|</v>
      </c>
    </row>
    <row r="297" spans="1:17">
      <c r="A297" s="494">
        <f t="shared" si="35"/>
        <v>289</v>
      </c>
      <c r="B297" s="490" t="s">
        <v>316</v>
      </c>
      <c r="C297" s="304" t="s">
        <v>325</v>
      </c>
      <c r="D297" s="305"/>
      <c r="E297" s="306">
        <v>10560</v>
      </c>
      <c r="F297" s="306">
        <f t="shared" si="36"/>
        <v>21120</v>
      </c>
      <c r="G297" s="307">
        <f t="shared" si="37"/>
        <v>12030</v>
      </c>
      <c r="H297" s="308"/>
      <c r="I297" s="309"/>
      <c r="J297" s="368"/>
      <c r="K297" s="309"/>
      <c r="L297" s="310"/>
      <c r="M297" s="311"/>
      <c r="N297" s="452"/>
      <c r="O297" s="660"/>
      <c r="P297" s="661"/>
      <c r="Q297" s="12" t="str">
        <f t="shared" si="34"/>
        <v>PJS_방화용_슬리브|D100*H150|</v>
      </c>
    </row>
    <row r="298" spans="1:17">
      <c r="A298" s="494">
        <f t="shared" si="35"/>
        <v>290</v>
      </c>
      <c r="B298" s="490" t="s">
        <v>316</v>
      </c>
      <c r="C298" s="304" t="s">
        <v>326</v>
      </c>
      <c r="D298" s="305"/>
      <c r="E298" s="306">
        <v>10830</v>
      </c>
      <c r="F298" s="306">
        <f t="shared" si="36"/>
        <v>21660</v>
      </c>
      <c r="G298" s="307">
        <f t="shared" si="37"/>
        <v>12340</v>
      </c>
      <c r="H298" s="308"/>
      <c r="I298" s="309"/>
      <c r="J298" s="368"/>
      <c r="K298" s="309"/>
      <c r="L298" s="310"/>
      <c r="M298" s="311"/>
      <c r="N298" s="452"/>
      <c r="O298" s="660"/>
      <c r="P298" s="661"/>
      <c r="Q298" s="12" t="str">
        <f t="shared" si="34"/>
        <v>PJS_방화용_슬리브|D100*H180|</v>
      </c>
    </row>
    <row r="299" spans="1:17">
      <c r="A299" s="494">
        <f t="shared" si="35"/>
        <v>291</v>
      </c>
      <c r="B299" s="490" t="s">
        <v>316</v>
      </c>
      <c r="C299" s="304" t="s">
        <v>327</v>
      </c>
      <c r="D299" s="305"/>
      <c r="E299" s="306">
        <v>10950</v>
      </c>
      <c r="F299" s="306">
        <f t="shared" si="36"/>
        <v>21900</v>
      </c>
      <c r="G299" s="307">
        <f t="shared" si="37"/>
        <v>12480</v>
      </c>
      <c r="H299" s="308"/>
      <c r="I299" s="309"/>
      <c r="J299" s="368"/>
      <c r="K299" s="309"/>
      <c r="L299" s="310"/>
      <c r="M299" s="311"/>
      <c r="N299" s="452"/>
      <c r="O299" s="660"/>
      <c r="P299" s="661"/>
      <c r="Q299" s="12" t="str">
        <f t="shared" si="34"/>
        <v>PJS_방화용_슬리브|D100*H200|</v>
      </c>
    </row>
    <row r="300" spans="1:17">
      <c r="A300" s="494">
        <f t="shared" si="35"/>
        <v>292</v>
      </c>
      <c r="B300" s="490" t="s">
        <v>316</v>
      </c>
      <c r="C300" s="304" t="s">
        <v>328</v>
      </c>
      <c r="D300" s="305"/>
      <c r="E300" s="306">
        <v>11080</v>
      </c>
      <c r="F300" s="306">
        <f t="shared" si="36"/>
        <v>22160</v>
      </c>
      <c r="G300" s="307">
        <f t="shared" si="37"/>
        <v>12630</v>
      </c>
      <c r="H300" s="308"/>
      <c r="I300" s="309"/>
      <c r="J300" s="368"/>
      <c r="K300" s="309"/>
      <c r="L300" s="310"/>
      <c r="M300" s="311"/>
      <c r="N300" s="452"/>
      <c r="O300" s="660"/>
      <c r="P300" s="661"/>
      <c r="Q300" s="12" t="str">
        <f t="shared" si="34"/>
        <v>PJS_방화용_슬리브|D100*H210|</v>
      </c>
    </row>
    <row r="301" spans="1:17">
      <c r="A301" s="494">
        <f t="shared" si="35"/>
        <v>293</v>
      </c>
      <c r="B301" s="490" t="s">
        <v>329</v>
      </c>
      <c r="C301" s="304" t="s">
        <v>330</v>
      </c>
      <c r="D301" s="305"/>
      <c r="E301" s="306">
        <v>1010</v>
      </c>
      <c r="F301" s="306">
        <f t="shared" si="36"/>
        <v>2020</v>
      </c>
      <c r="G301" s="307">
        <f t="shared" si="37"/>
        <v>1150</v>
      </c>
      <c r="H301" s="308"/>
      <c r="I301" s="309"/>
      <c r="J301" s="368"/>
      <c r="K301" s="309"/>
      <c r="L301" s="310"/>
      <c r="M301" s="311"/>
      <c r="N301" s="452"/>
      <c r="O301" s="660"/>
      <c r="P301" s="661"/>
      <c r="Q301" s="12" t="str">
        <f t="shared" si="34"/>
        <v>PJS_단열재_연결구|D50*H30|</v>
      </c>
    </row>
    <row r="302" spans="1:17">
      <c r="A302" s="494">
        <f t="shared" si="35"/>
        <v>294</v>
      </c>
      <c r="B302" s="490" t="s">
        <v>329</v>
      </c>
      <c r="C302" s="304" t="s">
        <v>331</v>
      </c>
      <c r="D302" s="305"/>
      <c r="E302" s="306">
        <v>1050</v>
      </c>
      <c r="F302" s="306">
        <f t="shared" si="36"/>
        <v>2100</v>
      </c>
      <c r="G302" s="307">
        <f t="shared" si="37"/>
        <v>1190</v>
      </c>
      <c r="H302" s="308"/>
      <c r="I302" s="309"/>
      <c r="J302" s="368"/>
      <c r="K302" s="309"/>
      <c r="L302" s="310"/>
      <c r="M302" s="311"/>
      <c r="N302" s="452"/>
      <c r="O302" s="660"/>
      <c r="P302" s="661"/>
      <c r="Q302" s="12" t="str">
        <f t="shared" si="34"/>
        <v>PJS_단열재_연결구|D50*H50|</v>
      </c>
    </row>
    <row r="303" spans="1:17">
      <c r="A303" s="494">
        <f t="shared" si="35"/>
        <v>295</v>
      </c>
      <c r="B303" s="490" t="s">
        <v>329</v>
      </c>
      <c r="C303" s="304" t="s">
        <v>332</v>
      </c>
      <c r="D303" s="305"/>
      <c r="E303" s="306">
        <v>1120</v>
      </c>
      <c r="F303" s="306">
        <f t="shared" si="36"/>
        <v>2240</v>
      </c>
      <c r="G303" s="307">
        <f t="shared" si="37"/>
        <v>1270</v>
      </c>
      <c r="H303" s="308"/>
      <c r="I303" s="309"/>
      <c r="J303" s="368"/>
      <c r="K303" s="309"/>
      <c r="L303" s="310"/>
      <c r="M303" s="311"/>
      <c r="N303" s="452"/>
      <c r="O303" s="660"/>
      <c r="P303" s="661"/>
      <c r="Q303" s="12" t="str">
        <f t="shared" si="34"/>
        <v>PJS_단열재_연결구|D75*H30|</v>
      </c>
    </row>
    <row r="304" spans="1:17">
      <c r="A304" s="494">
        <f t="shared" si="35"/>
        <v>296</v>
      </c>
      <c r="B304" s="490" t="s">
        <v>329</v>
      </c>
      <c r="C304" s="304" t="s">
        <v>333</v>
      </c>
      <c r="D304" s="305"/>
      <c r="E304" s="306">
        <v>1170</v>
      </c>
      <c r="F304" s="306">
        <f t="shared" si="36"/>
        <v>2340</v>
      </c>
      <c r="G304" s="307">
        <f t="shared" si="37"/>
        <v>1330</v>
      </c>
      <c r="H304" s="308"/>
      <c r="I304" s="309"/>
      <c r="J304" s="368"/>
      <c r="K304" s="309"/>
      <c r="L304" s="310"/>
      <c r="M304" s="311"/>
      <c r="N304" s="452"/>
      <c r="O304" s="660"/>
      <c r="P304" s="661"/>
      <c r="Q304" s="12" t="str">
        <f t="shared" si="34"/>
        <v>PJS_단열재_연결구|D75*H50|</v>
      </c>
    </row>
    <row r="305" spans="1:17">
      <c r="A305" s="494">
        <f t="shared" si="35"/>
        <v>297</v>
      </c>
      <c r="B305" s="490" t="s">
        <v>329</v>
      </c>
      <c r="C305" s="304" t="s">
        <v>334</v>
      </c>
      <c r="D305" s="305"/>
      <c r="E305" s="306">
        <v>1690</v>
      </c>
      <c r="F305" s="306">
        <f t="shared" si="36"/>
        <v>3380</v>
      </c>
      <c r="G305" s="307">
        <f t="shared" si="37"/>
        <v>1920</v>
      </c>
      <c r="H305" s="308"/>
      <c r="I305" s="309"/>
      <c r="J305" s="368"/>
      <c r="K305" s="309"/>
      <c r="L305" s="310"/>
      <c r="M305" s="311"/>
      <c r="N305" s="452"/>
      <c r="O305" s="660"/>
      <c r="P305" s="661"/>
      <c r="Q305" s="12" t="str">
        <f t="shared" si="34"/>
        <v>PJS_단열재_연결구|D100*H30|</v>
      </c>
    </row>
    <row r="306" spans="1:17">
      <c r="A306" s="494">
        <f t="shared" si="35"/>
        <v>298</v>
      </c>
      <c r="B306" s="490" t="s">
        <v>329</v>
      </c>
      <c r="C306" s="304" t="s">
        <v>335</v>
      </c>
      <c r="D306" s="305"/>
      <c r="E306" s="306">
        <v>1820</v>
      </c>
      <c r="F306" s="306">
        <f t="shared" si="36"/>
        <v>3640</v>
      </c>
      <c r="G306" s="307">
        <f t="shared" si="37"/>
        <v>2070</v>
      </c>
      <c r="H306" s="308"/>
      <c r="I306" s="309"/>
      <c r="J306" s="368"/>
      <c r="K306" s="309"/>
      <c r="L306" s="310"/>
      <c r="M306" s="311"/>
      <c r="N306" s="452"/>
      <c r="O306" s="660"/>
      <c r="P306" s="661"/>
      <c r="Q306" s="12" t="str">
        <f t="shared" si="34"/>
        <v>PJS_단열재_연결구|D100*H50|</v>
      </c>
    </row>
    <row r="307" spans="1:17">
      <c r="A307" s="494">
        <f t="shared" si="35"/>
        <v>299</v>
      </c>
      <c r="B307" s="490" t="s">
        <v>336</v>
      </c>
      <c r="C307" s="304" t="s">
        <v>330</v>
      </c>
      <c r="D307" s="305"/>
      <c r="E307" s="306">
        <v>590</v>
      </c>
      <c r="F307" s="306">
        <f t="shared" si="36"/>
        <v>1180</v>
      </c>
      <c r="G307" s="307">
        <f t="shared" si="37"/>
        <v>670</v>
      </c>
      <c r="H307" s="308"/>
      <c r="I307" s="309"/>
      <c r="J307" s="368"/>
      <c r="K307" s="309"/>
      <c r="L307" s="310"/>
      <c r="M307" s="311"/>
      <c r="N307" s="452"/>
      <c r="O307" s="660"/>
      <c r="P307" s="661"/>
      <c r="Q307" s="12" t="str">
        <f t="shared" si="34"/>
        <v>PJS_연결구_가락지|D50*H30|</v>
      </c>
    </row>
    <row r="308" spans="1:17">
      <c r="A308" s="494">
        <f t="shared" si="35"/>
        <v>300</v>
      </c>
      <c r="B308" s="490" t="s">
        <v>336</v>
      </c>
      <c r="C308" s="304" t="s">
        <v>331</v>
      </c>
      <c r="D308" s="305"/>
      <c r="E308" s="306">
        <v>620</v>
      </c>
      <c r="F308" s="306">
        <f t="shared" si="36"/>
        <v>1240</v>
      </c>
      <c r="G308" s="307">
        <f t="shared" si="37"/>
        <v>700</v>
      </c>
      <c r="H308" s="308"/>
      <c r="I308" s="309"/>
      <c r="J308" s="368"/>
      <c r="K308" s="309"/>
      <c r="L308" s="310"/>
      <c r="M308" s="311"/>
      <c r="N308" s="452"/>
      <c r="O308" s="660"/>
      <c r="P308" s="661"/>
      <c r="Q308" s="12" t="str">
        <f t="shared" si="34"/>
        <v>PJS_연결구_가락지|D50*H50|</v>
      </c>
    </row>
    <row r="309" spans="1:17">
      <c r="A309" s="494">
        <f t="shared" si="35"/>
        <v>301</v>
      </c>
      <c r="B309" s="490" t="s">
        <v>336</v>
      </c>
      <c r="C309" s="304" t="s">
        <v>332</v>
      </c>
      <c r="D309" s="305"/>
      <c r="E309" s="306">
        <v>710</v>
      </c>
      <c r="F309" s="306">
        <f t="shared" si="36"/>
        <v>1420</v>
      </c>
      <c r="G309" s="307">
        <f t="shared" si="37"/>
        <v>800</v>
      </c>
      <c r="H309" s="308"/>
      <c r="I309" s="309"/>
      <c r="J309" s="368"/>
      <c r="K309" s="309"/>
      <c r="L309" s="310"/>
      <c r="M309" s="311"/>
      <c r="N309" s="452"/>
      <c r="O309" s="660"/>
      <c r="P309" s="661"/>
      <c r="Q309" s="12" t="str">
        <f t="shared" si="34"/>
        <v>PJS_연결구_가락지|D75*H30|</v>
      </c>
    </row>
    <row r="310" spans="1:17">
      <c r="A310" s="494">
        <f t="shared" si="35"/>
        <v>302</v>
      </c>
      <c r="B310" s="490" t="s">
        <v>336</v>
      </c>
      <c r="C310" s="304" t="s">
        <v>333</v>
      </c>
      <c r="D310" s="305"/>
      <c r="E310" s="306">
        <v>740</v>
      </c>
      <c r="F310" s="306">
        <f t="shared" si="36"/>
        <v>1480</v>
      </c>
      <c r="G310" s="307">
        <f t="shared" si="37"/>
        <v>840</v>
      </c>
      <c r="H310" s="308"/>
      <c r="I310" s="309"/>
      <c r="J310" s="368"/>
      <c r="K310" s="309"/>
      <c r="L310" s="310"/>
      <c r="M310" s="311"/>
      <c r="N310" s="452"/>
      <c r="O310" s="660"/>
      <c r="P310" s="661"/>
      <c r="Q310" s="12" t="str">
        <f t="shared" si="34"/>
        <v>PJS_연결구_가락지|D75*H50|</v>
      </c>
    </row>
    <row r="311" spans="1:17">
      <c r="A311" s="494">
        <f t="shared" si="35"/>
        <v>303</v>
      </c>
      <c r="B311" s="490" t="s">
        <v>336</v>
      </c>
      <c r="C311" s="304" t="s">
        <v>334</v>
      </c>
      <c r="D311" s="305"/>
      <c r="E311" s="306">
        <v>1030</v>
      </c>
      <c r="F311" s="306">
        <f t="shared" si="36"/>
        <v>2060</v>
      </c>
      <c r="G311" s="307">
        <f t="shared" si="37"/>
        <v>1170</v>
      </c>
      <c r="H311" s="308"/>
      <c r="I311" s="309"/>
      <c r="J311" s="368"/>
      <c r="K311" s="309"/>
      <c r="L311" s="310"/>
      <c r="M311" s="311"/>
      <c r="N311" s="452"/>
      <c r="O311" s="660"/>
      <c r="P311" s="661"/>
      <c r="Q311" s="12" t="str">
        <f t="shared" si="34"/>
        <v>PJS_연결구_가락지|D100*H30|</v>
      </c>
    </row>
    <row r="312" spans="1:17">
      <c r="A312" s="494">
        <f t="shared" si="35"/>
        <v>304</v>
      </c>
      <c r="B312" s="490" t="s">
        <v>336</v>
      </c>
      <c r="C312" s="304" t="s">
        <v>335</v>
      </c>
      <c r="D312" s="305"/>
      <c r="E312" s="306">
        <v>1080</v>
      </c>
      <c r="F312" s="306">
        <f t="shared" si="36"/>
        <v>2160</v>
      </c>
      <c r="G312" s="307">
        <f t="shared" si="37"/>
        <v>1230</v>
      </c>
      <c r="H312" s="308"/>
      <c r="I312" s="309"/>
      <c r="J312" s="368"/>
      <c r="K312" s="309"/>
      <c r="L312" s="310"/>
      <c r="M312" s="311"/>
      <c r="N312" s="452"/>
      <c r="O312" s="660"/>
      <c r="P312" s="661"/>
      <c r="Q312" s="12" t="str">
        <f t="shared" si="34"/>
        <v>PJS_연결구_가락지|D100*H50|</v>
      </c>
    </row>
    <row r="313" spans="1:17">
      <c r="A313" s="494">
        <f t="shared" si="35"/>
        <v>305</v>
      </c>
      <c r="B313" s="490" t="s">
        <v>337</v>
      </c>
      <c r="C313" s="304" t="s">
        <v>338</v>
      </c>
      <c r="D313" s="305"/>
      <c r="E313" s="306">
        <v>400</v>
      </c>
      <c r="F313" s="306">
        <f t="shared" si="36"/>
        <v>800</v>
      </c>
      <c r="G313" s="307">
        <f t="shared" si="37"/>
        <v>450</v>
      </c>
      <c r="H313" s="308"/>
      <c r="I313" s="309"/>
      <c r="J313" s="368"/>
      <c r="K313" s="309"/>
      <c r="L313" s="310"/>
      <c r="M313" s="311"/>
      <c r="N313" s="452"/>
      <c r="O313" s="660"/>
      <c r="P313" s="661"/>
      <c r="Q313" s="12" t="str">
        <f t="shared" si="34"/>
        <v>PJS_방화용_가락지|D50*3전|</v>
      </c>
    </row>
    <row r="314" spans="1:17">
      <c r="A314" s="494">
        <f t="shared" si="35"/>
        <v>306</v>
      </c>
      <c r="B314" s="490" t="s">
        <v>337</v>
      </c>
      <c r="C314" s="304" t="s">
        <v>339</v>
      </c>
      <c r="D314" s="305"/>
      <c r="E314" s="306">
        <v>500</v>
      </c>
      <c r="F314" s="306">
        <f t="shared" si="36"/>
        <v>1000</v>
      </c>
      <c r="G314" s="307">
        <f t="shared" si="37"/>
        <v>570</v>
      </c>
      <c r="H314" s="308"/>
      <c r="I314" s="309"/>
      <c r="J314" s="368"/>
      <c r="K314" s="309"/>
      <c r="L314" s="310"/>
      <c r="M314" s="311"/>
      <c r="N314" s="452"/>
      <c r="O314" s="660"/>
      <c r="P314" s="661"/>
      <c r="Q314" s="12" t="str">
        <f t="shared" si="34"/>
        <v>PJS_방화용_가락지|D50*5전|</v>
      </c>
    </row>
    <row r="315" spans="1:17">
      <c r="A315" s="494">
        <f t="shared" si="35"/>
        <v>307</v>
      </c>
      <c r="B315" s="490" t="s">
        <v>337</v>
      </c>
      <c r="C315" s="304" t="s">
        <v>340</v>
      </c>
      <c r="D315" s="305"/>
      <c r="E315" s="306">
        <v>400</v>
      </c>
      <c r="F315" s="306">
        <f t="shared" si="36"/>
        <v>800</v>
      </c>
      <c r="G315" s="307">
        <f t="shared" si="37"/>
        <v>450</v>
      </c>
      <c r="H315" s="308"/>
      <c r="I315" s="309"/>
      <c r="J315" s="368"/>
      <c r="K315" s="309"/>
      <c r="L315" s="310"/>
      <c r="M315" s="311"/>
      <c r="N315" s="452"/>
      <c r="O315" s="660"/>
      <c r="P315" s="661"/>
      <c r="Q315" s="12" t="str">
        <f t="shared" si="34"/>
        <v>PJS_방화용_가락지|D75*3전|</v>
      </c>
    </row>
    <row r="316" spans="1:17">
      <c r="A316" s="494">
        <f t="shared" si="35"/>
        <v>308</v>
      </c>
      <c r="B316" s="490" t="s">
        <v>337</v>
      </c>
      <c r="C316" s="304" t="s">
        <v>341</v>
      </c>
      <c r="D316" s="305"/>
      <c r="E316" s="306">
        <v>500</v>
      </c>
      <c r="F316" s="306">
        <f t="shared" si="36"/>
        <v>1000</v>
      </c>
      <c r="G316" s="307">
        <f t="shared" si="37"/>
        <v>570</v>
      </c>
      <c r="H316" s="308"/>
      <c r="I316" s="309"/>
      <c r="J316" s="368"/>
      <c r="K316" s="309"/>
      <c r="L316" s="310"/>
      <c r="M316" s="311"/>
      <c r="N316" s="452"/>
      <c r="O316" s="660"/>
      <c r="P316" s="661"/>
      <c r="Q316" s="12" t="str">
        <f t="shared" si="34"/>
        <v>PJS_방화용_가락지|D75*5전|</v>
      </c>
    </row>
    <row r="317" spans="1:17">
      <c r="A317" s="494">
        <f t="shared" si="35"/>
        <v>309</v>
      </c>
      <c r="B317" s="490" t="s">
        <v>337</v>
      </c>
      <c r="C317" s="304" t="s">
        <v>342</v>
      </c>
      <c r="D317" s="305"/>
      <c r="E317" s="306">
        <v>400</v>
      </c>
      <c r="F317" s="306">
        <f t="shared" si="36"/>
        <v>800</v>
      </c>
      <c r="G317" s="307">
        <f t="shared" si="37"/>
        <v>450</v>
      </c>
      <c r="H317" s="308"/>
      <c r="I317" s="309"/>
      <c r="J317" s="368"/>
      <c r="K317" s="309"/>
      <c r="L317" s="310"/>
      <c r="M317" s="311"/>
      <c r="N317" s="452"/>
      <c r="O317" s="660"/>
      <c r="P317" s="661"/>
      <c r="Q317" s="12" t="str">
        <f t="shared" si="34"/>
        <v>PJS_방화용_가락지|D100*3전|</v>
      </c>
    </row>
    <row r="318" spans="1:17" ht="17.25" thickBot="1">
      <c r="A318" s="495">
        <f t="shared" si="35"/>
        <v>310</v>
      </c>
      <c r="B318" s="491" t="s">
        <v>337</v>
      </c>
      <c r="C318" s="312" t="s">
        <v>343</v>
      </c>
      <c r="D318" s="313"/>
      <c r="E318" s="314">
        <v>500</v>
      </c>
      <c r="F318" s="314">
        <f t="shared" si="36"/>
        <v>1000</v>
      </c>
      <c r="G318" s="207">
        <f t="shared" si="37"/>
        <v>570</v>
      </c>
      <c r="H318" s="146"/>
      <c r="I318" s="251"/>
      <c r="J318" s="371"/>
      <c r="K318" s="251"/>
      <c r="L318" s="252"/>
      <c r="M318" s="253"/>
      <c r="N318" s="457"/>
      <c r="O318" s="611"/>
      <c r="P318" s="662"/>
      <c r="Q318" s="12" t="str">
        <f t="shared" si="34"/>
        <v>PJS_방화용_가락지|D100*5전|</v>
      </c>
    </row>
    <row r="319" spans="1:17">
      <c r="A319" s="498">
        <f t="shared" si="35"/>
        <v>311</v>
      </c>
      <c r="B319" s="484" t="s">
        <v>344</v>
      </c>
      <c r="C319" s="283" t="s">
        <v>278</v>
      </c>
      <c r="D319" s="284"/>
      <c r="E319" s="47">
        <v>3350</v>
      </c>
      <c r="F319" s="47">
        <f t="shared" si="36"/>
        <v>6700</v>
      </c>
      <c r="G319" s="152">
        <f t="shared" si="37"/>
        <v>3810</v>
      </c>
      <c r="H319" s="232"/>
      <c r="I319" s="233"/>
      <c r="J319" s="372"/>
      <c r="K319" s="233"/>
      <c r="L319" s="248"/>
      <c r="M319" s="249"/>
      <c r="N319" s="458"/>
      <c r="O319" s="599"/>
      <c r="P319" s="600"/>
      <c r="Q319" s="12" t="str">
        <f t="shared" si="34"/>
        <v>조절포인트|50A|</v>
      </c>
    </row>
    <row r="320" spans="1:17">
      <c r="A320" s="494">
        <f t="shared" si="35"/>
        <v>312</v>
      </c>
      <c r="B320" s="485" t="s">
        <v>344</v>
      </c>
      <c r="C320" s="282" t="s">
        <v>116</v>
      </c>
      <c r="D320" s="258"/>
      <c r="E320" s="259">
        <v>3820</v>
      </c>
      <c r="F320" s="259">
        <f t="shared" si="36"/>
        <v>7640</v>
      </c>
      <c r="G320" s="135">
        <f t="shared" si="37"/>
        <v>4350</v>
      </c>
      <c r="H320" s="209"/>
      <c r="I320" s="139"/>
      <c r="J320" s="367"/>
      <c r="K320" s="139"/>
      <c r="L320" s="140"/>
      <c r="M320" s="141"/>
      <c r="N320" s="459"/>
      <c r="O320" s="605"/>
      <c r="P320" s="606"/>
      <c r="Q320" s="12" t="str">
        <f t="shared" si="34"/>
        <v>조절포인트|75A|</v>
      </c>
    </row>
    <row r="321" spans="1:17" ht="17.25" thickBot="1">
      <c r="A321" s="495">
        <f t="shared" si="35"/>
        <v>313</v>
      </c>
      <c r="B321" s="492" t="s">
        <v>344</v>
      </c>
      <c r="C321" s="315" t="s">
        <v>117</v>
      </c>
      <c r="D321" s="316"/>
      <c r="E321" s="317">
        <v>4650</v>
      </c>
      <c r="F321" s="317">
        <f t="shared" si="36"/>
        <v>9300</v>
      </c>
      <c r="G321" s="318">
        <f t="shared" si="37"/>
        <v>5300</v>
      </c>
      <c r="H321" s="319"/>
      <c r="I321" s="320"/>
      <c r="J321" s="376"/>
      <c r="K321" s="320"/>
      <c r="L321" s="321"/>
      <c r="M321" s="322"/>
      <c r="N321" s="463"/>
      <c r="O321" s="663"/>
      <c r="P321" s="664"/>
      <c r="Q321" s="12" t="str">
        <f t="shared" si="34"/>
        <v>조절포인트|100A|</v>
      </c>
    </row>
    <row r="322" spans="1:17">
      <c r="A322" s="498">
        <f t="shared" si="35"/>
        <v>314</v>
      </c>
      <c r="B322" s="489" t="s">
        <v>345</v>
      </c>
      <c r="C322" s="301" t="s">
        <v>278</v>
      </c>
      <c r="D322" s="302"/>
      <c r="E322" s="303">
        <v>340</v>
      </c>
      <c r="F322" s="303">
        <f t="shared" si="36"/>
        <v>680</v>
      </c>
      <c r="G322" s="220">
        <f t="shared" si="37"/>
        <v>380</v>
      </c>
      <c r="H322" s="49"/>
      <c r="I322" s="115"/>
      <c r="J322" s="370"/>
      <c r="K322" s="115"/>
      <c r="L322" s="221"/>
      <c r="M322" s="222"/>
      <c r="N322" s="456"/>
      <c r="O322" s="576"/>
      <c r="P322" s="577"/>
      <c r="Q322" s="12" t="str">
        <f t="shared" si="34"/>
        <v>파이프가이드_상|50A|</v>
      </c>
    </row>
    <row r="323" spans="1:17">
      <c r="A323" s="494">
        <f t="shared" si="35"/>
        <v>315</v>
      </c>
      <c r="B323" s="490" t="s">
        <v>345</v>
      </c>
      <c r="C323" s="304" t="s">
        <v>116</v>
      </c>
      <c r="D323" s="305"/>
      <c r="E323" s="306">
        <v>360</v>
      </c>
      <c r="F323" s="306">
        <f t="shared" si="36"/>
        <v>720</v>
      </c>
      <c r="G323" s="307">
        <f t="shared" si="37"/>
        <v>410</v>
      </c>
      <c r="H323" s="308"/>
      <c r="I323" s="309"/>
      <c r="J323" s="368"/>
      <c r="K323" s="309"/>
      <c r="L323" s="310"/>
      <c r="M323" s="311"/>
      <c r="N323" s="452"/>
      <c r="O323" s="660"/>
      <c r="P323" s="661"/>
      <c r="Q323" s="12" t="str">
        <f t="shared" si="34"/>
        <v>파이프가이드_상|75A|</v>
      </c>
    </row>
    <row r="324" spans="1:17" ht="17.25" thickBot="1">
      <c r="A324" s="495">
        <f t="shared" si="35"/>
        <v>316</v>
      </c>
      <c r="B324" s="491" t="s">
        <v>345</v>
      </c>
      <c r="C324" s="312" t="s">
        <v>117</v>
      </c>
      <c r="D324" s="313"/>
      <c r="E324" s="314">
        <v>300</v>
      </c>
      <c r="F324" s="314">
        <f t="shared" si="36"/>
        <v>600</v>
      </c>
      <c r="G324" s="207">
        <f t="shared" si="37"/>
        <v>340</v>
      </c>
      <c r="H324" s="146"/>
      <c r="I324" s="251"/>
      <c r="J324" s="371"/>
      <c r="K324" s="251"/>
      <c r="L324" s="252"/>
      <c r="M324" s="253"/>
      <c r="N324" s="457"/>
      <c r="O324" s="611"/>
      <c r="P324" s="662"/>
      <c r="Q324" s="12" t="str">
        <f t="shared" si="34"/>
        <v>파이프가이드_상|100A|</v>
      </c>
    </row>
    <row r="325" spans="1:17">
      <c r="A325" s="498">
        <f t="shared" si="35"/>
        <v>317</v>
      </c>
      <c r="B325" s="484" t="s">
        <v>346</v>
      </c>
      <c r="C325" s="283" t="s">
        <v>278</v>
      </c>
      <c r="D325" s="284"/>
      <c r="E325" s="47">
        <v>340</v>
      </c>
      <c r="F325" s="47">
        <f t="shared" si="36"/>
        <v>680</v>
      </c>
      <c r="G325" s="152">
        <f t="shared" si="37"/>
        <v>380</v>
      </c>
      <c r="H325" s="232"/>
      <c r="I325" s="233"/>
      <c r="J325" s="372"/>
      <c r="K325" s="233"/>
      <c r="L325" s="248"/>
      <c r="M325" s="249"/>
      <c r="N325" s="458"/>
      <c r="O325" s="599"/>
      <c r="P325" s="600"/>
      <c r="Q325" s="12" t="str">
        <f t="shared" si="34"/>
        <v>방화용_커버|50A|</v>
      </c>
    </row>
    <row r="326" spans="1:17">
      <c r="A326" s="494">
        <f t="shared" si="35"/>
        <v>318</v>
      </c>
      <c r="B326" s="485" t="s">
        <v>346</v>
      </c>
      <c r="C326" s="282" t="s">
        <v>116</v>
      </c>
      <c r="D326" s="258"/>
      <c r="E326" s="259">
        <v>350</v>
      </c>
      <c r="F326" s="259">
        <f t="shared" si="36"/>
        <v>700</v>
      </c>
      <c r="G326" s="135">
        <f t="shared" si="37"/>
        <v>390</v>
      </c>
      <c r="H326" s="209"/>
      <c r="I326" s="139"/>
      <c r="J326" s="367"/>
      <c r="K326" s="139"/>
      <c r="L326" s="140"/>
      <c r="M326" s="141"/>
      <c r="N326" s="459"/>
      <c r="O326" s="605"/>
      <c r="P326" s="606"/>
      <c r="Q326" s="12" t="str">
        <f t="shared" si="34"/>
        <v>방화용_커버|75A|</v>
      </c>
    </row>
    <row r="327" spans="1:17" ht="17.25" thickBot="1">
      <c r="A327" s="495">
        <f t="shared" si="35"/>
        <v>319</v>
      </c>
      <c r="B327" s="492" t="s">
        <v>346</v>
      </c>
      <c r="C327" s="315" t="s">
        <v>117</v>
      </c>
      <c r="D327" s="316"/>
      <c r="E327" s="317">
        <v>290</v>
      </c>
      <c r="F327" s="317">
        <f t="shared" si="36"/>
        <v>580</v>
      </c>
      <c r="G327" s="318">
        <f t="shared" si="37"/>
        <v>330</v>
      </c>
      <c r="H327" s="319"/>
      <c r="I327" s="320"/>
      <c r="J327" s="376"/>
      <c r="K327" s="320"/>
      <c r="L327" s="321"/>
      <c r="M327" s="322"/>
      <c r="N327" s="463"/>
      <c r="O327" s="663"/>
      <c r="P327" s="664"/>
      <c r="Q327" s="12" t="str">
        <f t="shared" si="34"/>
        <v>방화용_커버|100A|</v>
      </c>
    </row>
    <row r="328" spans="1:17">
      <c r="A328" s="498">
        <f t="shared" si="35"/>
        <v>320</v>
      </c>
      <c r="B328" s="489" t="s">
        <v>347</v>
      </c>
      <c r="C328" s="301" t="s">
        <v>278</v>
      </c>
      <c r="D328" s="302"/>
      <c r="E328" s="303">
        <v>370</v>
      </c>
      <c r="F328" s="303">
        <f t="shared" si="36"/>
        <v>740</v>
      </c>
      <c r="G328" s="220">
        <f t="shared" si="37"/>
        <v>420</v>
      </c>
      <c r="H328" s="49"/>
      <c r="I328" s="115"/>
      <c r="J328" s="370"/>
      <c r="K328" s="115"/>
      <c r="L328" s="221"/>
      <c r="M328" s="222"/>
      <c r="N328" s="456"/>
      <c r="O328" s="576"/>
      <c r="P328" s="577"/>
      <c r="Q328" s="12" t="str">
        <f t="shared" ref="Q328:Q355" si="38">B328&amp;"|"&amp;C328&amp;"|"&amp;D328</f>
        <v>방화용_오링|50A|</v>
      </c>
    </row>
    <row r="329" spans="1:17">
      <c r="A329" s="494">
        <f t="shared" si="35"/>
        <v>321</v>
      </c>
      <c r="B329" s="490" t="s">
        <v>347</v>
      </c>
      <c r="C329" s="304" t="s">
        <v>116</v>
      </c>
      <c r="D329" s="305"/>
      <c r="E329" s="306">
        <v>430</v>
      </c>
      <c r="F329" s="306">
        <f t="shared" si="36"/>
        <v>860</v>
      </c>
      <c r="G329" s="307">
        <f t="shared" si="37"/>
        <v>490</v>
      </c>
      <c r="H329" s="308"/>
      <c r="I329" s="309"/>
      <c r="J329" s="368"/>
      <c r="K329" s="309"/>
      <c r="L329" s="310"/>
      <c r="M329" s="311"/>
      <c r="N329" s="452"/>
      <c r="O329" s="660"/>
      <c r="P329" s="661"/>
      <c r="Q329" s="12" t="str">
        <f t="shared" si="38"/>
        <v>방화용_오링|75A|</v>
      </c>
    </row>
    <row r="330" spans="1:17" ht="17.25" thickBot="1">
      <c r="A330" s="495">
        <f t="shared" si="35"/>
        <v>322</v>
      </c>
      <c r="B330" s="491" t="s">
        <v>347</v>
      </c>
      <c r="C330" s="312" t="s">
        <v>117</v>
      </c>
      <c r="D330" s="313"/>
      <c r="E330" s="314">
        <v>500</v>
      </c>
      <c r="F330" s="314">
        <f t="shared" si="36"/>
        <v>1000</v>
      </c>
      <c r="G330" s="207">
        <f t="shared" si="37"/>
        <v>570</v>
      </c>
      <c r="H330" s="146"/>
      <c r="I330" s="251"/>
      <c r="J330" s="371"/>
      <c r="K330" s="251"/>
      <c r="L330" s="252"/>
      <c r="M330" s="253"/>
      <c r="N330" s="457"/>
      <c r="O330" s="611"/>
      <c r="P330" s="662"/>
      <c r="Q330" s="12" t="str">
        <f t="shared" si="38"/>
        <v>방화용_오링|100A|</v>
      </c>
    </row>
    <row r="331" spans="1:17">
      <c r="A331" s="498">
        <f t="shared" si="35"/>
        <v>323</v>
      </c>
      <c r="B331" s="484" t="s">
        <v>348</v>
      </c>
      <c r="C331" s="283" t="s">
        <v>349</v>
      </c>
      <c r="D331" s="284"/>
      <c r="E331" s="47">
        <v>8340</v>
      </c>
      <c r="F331" s="47">
        <f t="shared" si="36"/>
        <v>16680</v>
      </c>
      <c r="G331" s="152">
        <f t="shared" si="37"/>
        <v>9500</v>
      </c>
      <c r="H331" s="232"/>
      <c r="I331" s="233"/>
      <c r="J331" s="372"/>
      <c r="K331" s="233"/>
      <c r="L331" s="248"/>
      <c r="M331" s="249"/>
      <c r="N331" s="458"/>
      <c r="O331" s="599"/>
      <c r="P331" s="600"/>
      <c r="Q331" s="12" t="str">
        <f t="shared" si="38"/>
        <v>일체형_벽체_슬리브|65A|</v>
      </c>
    </row>
    <row r="332" spans="1:17">
      <c r="A332" s="494">
        <f t="shared" ref="A332:A355" si="39">A331+1</f>
        <v>324</v>
      </c>
      <c r="B332" s="485" t="s">
        <v>348</v>
      </c>
      <c r="C332" s="282" t="s">
        <v>350</v>
      </c>
      <c r="D332" s="258"/>
      <c r="E332" s="259">
        <v>8700</v>
      </c>
      <c r="F332" s="259">
        <f t="shared" si="36"/>
        <v>17400</v>
      </c>
      <c r="G332" s="135">
        <f t="shared" si="37"/>
        <v>9910</v>
      </c>
      <c r="H332" s="209"/>
      <c r="I332" s="139"/>
      <c r="J332" s="367"/>
      <c r="K332" s="139"/>
      <c r="L332" s="140"/>
      <c r="M332" s="141"/>
      <c r="N332" s="459"/>
      <c r="O332" s="605"/>
      <c r="P332" s="606"/>
      <c r="Q332" s="12" t="str">
        <f t="shared" si="38"/>
        <v>일체형_벽체_슬리브|85A|</v>
      </c>
    </row>
    <row r="333" spans="1:17">
      <c r="A333" s="494">
        <f t="shared" si="39"/>
        <v>325</v>
      </c>
      <c r="B333" s="485" t="s">
        <v>348</v>
      </c>
      <c r="C333" s="282" t="s">
        <v>351</v>
      </c>
      <c r="D333" s="258"/>
      <c r="E333" s="259">
        <v>9000</v>
      </c>
      <c r="F333" s="259">
        <f t="shared" si="36"/>
        <v>18000</v>
      </c>
      <c r="G333" s="135">
        <f t="shared" si="37"/>
        <v>10260</v>
      </c>
      <c r="H333" s="209"/>
      <c r="I333" s="139"/>
      <c r="J333" s="367"/>
      <c r="K333" s="139"/>
      <c r="L333" s="140"/>
      <c r="M333" s="141"/>
      <c r="N333" s="459"/>
      <c r="O333" s="605"/>
      <c r="P333" s="606"/>
      <c r="Q333" s="12" t="str">
        <f t="shared" si="38"/>
        <v>일체형_벽체_슬리브|105A|</v>
      </c>
    </row>
    <row r="334" spans="1:17">
      <c r="A334" s="494">
        <f t="shared" si="39"/>
        <v>326</v>
      </c>
      <c r="B334" s="485" t="s">
        <v>348</v>
      </c>
      <c r="C334" s="282" t="s">
        <v>352</v>
      </c>
      <c r="D334" s="258"/>
      <c r="E334" s="259">
        <v>9840</v>
      </c>
      <c r="F334" s="259">
        <f t="shared" si="36"/>
        <v>19680</v>
      </c>
      <c r="G334" s="135">
        <f t="shared" si="37"/>
        <v>11210</v>
      </c>
      <c r="H334" s="209"/>
      <c r="I334" s="139"/>
      <c r="J334" s="367"/>
      <c r="K334" s="139"/>
      <c r="L334" s="140"/>
      <c r="M334" s="141"/>
      <c r="N334" s="459"/>
      <c r="O334" s="605"/>
      <c r="P334" s="606"/>
      <c r="Q334" s="12" t="str">
        <f t="shared" si="38"/>
        <v>일체형_벽체_슬리브|135A|</v>
      </c>
    </row>
    <row r="335" spans="1:17" ht="17.25" thickBot="1">
      <c r="A335" s="495">
        <f t="shared" si="39"/>
        <v>327</v>
      </c>
      <c r="B335" s="492" t="s">
        <v>348</v>
      </c>
      <c r="C335" s="315" t="s">
        <v>279</v>
      </c>
      <c r="D335" s="316"/>
      <c r="E335" s="317">
        <v>10200</v>
      </c>
      <c r="F335" s="317">
        <f t="shared" si="36"/>
        <v>20400</v>
      </c>
      <c r="G335" s="318">
        <f t="shared" si="37"/>
        <v>11620</v>
      </c>
      <c r="H335" s="319"/>
      <c r="I335" s="320"/>
      <c r="J335" s="376"/>
      <c r="K335" s="320"/>
      <c r="L335" s="321"/>
      <c r="M335" s="322"/>
      <c r="N335" s="463"/>
      <c r="O335" s="663"/>
      <c r="P335" s="664"/>
      <c r="Q335" s="12" t="str">
        <f t="shared" si="38"/>
        <v>일체형_벽체_슬리브|150A|</v>
      </c>
    </row>
    <row r="336" spans="1:17">
      <c r="A336" s="498">
        <f t="shared" si="39"/>
        <v>328</v>
      </c>
      <c r="B336" s="489" t="s">
        <v>353</v>
      </c>
      <c r="C336" s="301" t="s">
        <v>354</v>
      </c>
      <c r="D336" s="302"/>
      <c r="E336" s="303">
        <v>550</v>
      </c>
      <c r="F336" s="303">
        <f t="shared" si="36"/>
        <v>1100</v>
      </c>
      <c r="G336" s="220">
        <f t="shared" si="37"/>
        <v>620</v>
      </c>
      <c r="H336" s="49"/>
      <c r="I336" s="115"/>
      <c r="J336" s="370"/>
      <c r="K336" s="115"/>
      <c r="L336" s="221"/>
      <c r="M336" s="222"/>
      <c r="N336" s="456"/>
      <c r="O336" s="576" t="s">
        <v>365</v>
      </c>
      <c r="P336" s="577"/>
      <c r="Q336" s="12" t="str">
        <f t="shared" si="38"/>
        <v>마감링|25A*65A|</v>
      </c>
    </row>
    <row r="337" spans="1:17">
      <c r="A337" s="494">
        <f t="shared" si="39"/>
        <v>329</v>
      </c>
      <c r="B337" s="490" t="s">
        <v>353</v>
      </c>
      <c r="C337" s="304" t="s">
        <v>355</v>
      </c>
      <c r="D337" s="305"/>
      <c r="E337" s="306">
        <v>650</v>
      </c>
      <c r="F337" s="306">
        <f t="shared" si="36"/>
        <v>1300</v>
      </c>
      <c r="G337" s="307">
        <f t="shared" si="37"/>
        <v>740</v>
      </c>
      <c r="H337" s="308"/>
      <c r="I337" s="309"/>
      <c r="J337" s="368"/>
      <c r="K337" s="309"/>
      <c r="L337" s="310"/>
      <c r="M337" s="311"/>
      <c r="N337" s="452"/>
      <c r="O337" s="660" t="s">
        <v>366</v>
      </c>
      <c r="P337" s="661"/>
      <c r="Q337" s="12" t="str">
        <f t="shared" si="38"/>
        <v>마감링|25A*85A|</v>
      </c>
    </row>
    <row r="338" spans="1:17">
      <c r="A338" s="494">
        <f t="shared" si="39"/>
        <v>330</v>
      </c>
      <c r="B338" s="490" t="s">
        <v>353</v>
      </c>
      <c r="C338" s="304" t="s">
        <v>355</v>
      </c>
      <c r="D338" s="305"/>
      <c r="E338" s="306">
        <v>650</v>
      </c>
      <c r="F338" s="306">
        <f t="shared" si="36"/>
        <v>1300</v>
      </c>
      <c r="G338" s="307">
        <f t="shared" si="37"/>
        <v>740</v>
      </c>
      <c r="H338" s="308"/>
      <c r="I338" s="309"/>
      <c r="J338" s="368"/>
      <c r="K338" s="309"/>
      <c r="L338" s="310"/>
      <c r="M338" s="311"/>
      <c r="N338" s="452"/>
      <c r="O338" s="660" t="s">
        <v>367</v>
      </c>
      <c r="P338" s="661"/>
      <c r="Q338" s="12" t="str">
        <f t="shared" si="38"/>
        <v>마감링|25A*85A|</v>
      </c>
    </row>
    <row r="339" spans="1:17">
      <c r="A339" s="494">
        <f t="shared" si="39"/>
        <v>331</v>
      </c>
      <c r="B339" s="490" t="s">
        <v>353</v>
      </c>
      <c r="C339" s="304" t="s">
        <v>356</v>
      </c>
      <c r="D339" s="305"/>
      <c r="E339" s="306">
        <v>550</v>
      </c>
      <c r="F339" s="306">
        <f t="shared" si="36"/>
        <v>1100</v>
      </c>
      <c r="G339" s="307">
        <f t="shared" si="37"/>
        <v>620</v>
      </c>
      <c r="H339" s="308"/>
      <c r="I339" s="309"/>
      <c r="J339" s="368"/>
      <c r="K339" s="309"/>
      <c r="L339" s="310"/>
      <c r="M339" s="311"/>
      <c r="N339" s="452"/>
      <c r="O339" s="660" t="s">
        <v>368</v>
      </c>
      <c r="P339" s="661"/>
      <c r="Q339" s="12" t="str">
        <f t="shared" si="38"/>
        <v>마감링|32A(35A)*65A |</v>
      </c>
    </row>
    <row r="340" spans="1:17">
      <c r="A340" s="494">
        <f t="shared" si="39"/>
        <v>332</v>
      </c>
      <c r="B340" s="490" t="s">
        <v>353</v>
      </c>
      <c r="C340" s="304" t="s">
        <v>357</v>
      </c>
      <c r="D340" s="305"/>
      <c r="E340" s="306">
        <v>650</v>
      </c>
      <c r="F340" s="306">
        <f t="shared" si="36"/>
        <v>1300</v>
      </c>
      <c r="G340" s="307">
        <f t="shared" si="37"/>
        <v>740</v>
      </c>
      <c r="H340" s="308"/>
      <c r="I340" s="309"/>
      <c r="J340" s="368"/>
      <c r="K340" s="309"/>
      <c r="L340" s="310"/>
      <c r="M340" s="311"/>
      <c r="N340" s="452"/>
      <c r="O340" s="660" t="s">
        <v>369</v>
      </c>
      <c r="P340" s="661"/>
      <c r="Q340" s="12" t="str">
        <f t="shared" si="38"/>
        <v>마감링|32A(35A)*85A|</v>
      </c>
    </row>
    <row r="341" spans="1:17">
      <c r="A341" s="494">
        <f t="shared" si="39"/>
        <v>333</v>
      </c>
      <c r="B341" s="490" t="s">
        <v>353</v>
      </c>
      <c r="C341" s="304" t="s">
        <v>357</v>
      </c>
      <c r="D341" s="305"/>
      <c r="E341" s="306">
        <v>650</v>
      </c>
      <c r="F341" s="306">
        <f t="shared" si="36"/>
        <v>1300</v>
      </c>
      <c r="G341" s="307">
        <f t="shared" si="37"/>
        <v>740</v>
      </c>
      <c r="H341" s="308"/>
      <c r="I341" s="309"/>
      <c r="J341" s="368"/>
      <c r="K341" s="309"/>
      <c r="L341" s="310"/>
      <c r="M341" s="311"/>
      <c r="N341" s="452"/>
      <c r="O341" s="660" t="s">
        <v>368</v>
      </c>
      <c r="P341" s="661"/>
      <c r="Q341" s="12" t="str">
        <f t="shared" si="38"/>
        <v>마감링|32A(35A)*85A|</v>
      </c>
    </row>
    <row r="342" spans="1:17">
      <c r="A342" s="494">
        <f t="shared" si="39"/>
        <v>334</v>
      </c>
      <c r="B342" s="490" t="s">
        <v>353</v>
      </c>
      <c r="C342" s="304" t="s">
        <v>358</v>
      </c>
      <c r="D342" s="305"/>
      <c r="E342" s="306">
        <v>650</v>
      </c>
      <c r="F342" s="306">
        <f t="shared" si="36"/>
        <v>1300</v>
      </c>
      <c r="G342" s="307">
        <f t="shared" si="37"/>
        <v>740</v>
      </c>
      <c r="H342" s="308"/>
      <c r="I342" s="309"/>
      <c r="J342" s="368"/>
      <c r="K342" s="309"/>
      <c r="L342" s="310"/>
      <c r="M342" s="311"/>
      <c r="N342" s="452"/>
      <c r="O342" s="660" t="s">
        <v>369</v>
      </c>
      <c r="P342" s="661"/>
      <c r="Q342" s="12" t="str">
        <f t="shared" si="38"/>
        <v>마감링|40A*85A|</v>
      </c>
    </row>
    <row r="343" spans="1:17">
      <c r="A343" s="494">
        <f t="shared" si="39"/>
        <v>335</v>
      </c>
      <c r="B343" s="490" t="s">
        <v>353</v>
      </c>
      <c r="C343" s="304" t="s">
        <v>358</v>
      </c>
      <c r="D343" s="305"/>
      <c r="E343" s="306">
        <v>650</v>
      </c>
      <c r="F343" s="306">
        <f t="shared" si="36"/>
        <v>1300</v>
      </c>
      <c r="G343" s="307">
        <f t="shared" si="37"/>
        <v>740</v>
      </c>
      <c r="H343" s="308"/>
      <c r="I343" s="309"/>
      <c r="J343" s="368"/>
      <c r="K343" s="309"/>
      <c r="L343" s="310"/>
      <c r="M343" s="311"/>
      <c r="N343" s="452"/>
      <c r="O343" s="660" t="s">
        <v>368</v>
      </c>
      <c r="P343" s="661"/>
      <c r="Q343" s="12" t="str">
        <f t="shared" si="38"/>
        <v>마감링|40A*85A|</v>
      </c>
    </row>
    <row r="344" spans="1:17">
      <c r="A344" s="494">
        <f t="shared" si="39"/>
        <v>336</v>
      </c>
      <c r="B344" s="490" t="s">
        <v>353</v>
      </c>
      <c r="C344" s="304" t="s">
        <v>359</v>
      </c>
      <c r="D344" s="305"/>
      <c r="E344" s="306">
        <v>680</v>
      </c>
      <c r="F344" s="306">
        <f t="shared" si="36"/>
        <v>1360</v>
      </c>
      <c r="G344" s="307">
        <f t="shared" si="37"/>
        <v>770</v>
      </c>
      <c r="H344" s="308"/>
      <c r="I344" s="309"/>
      <c r="J344" s="368"/>
      <c r="K344" s="309"/>
      <c r="L344" s="310"/>
      <c r="M344" s="311"/>
      <c r="N344" s="452"/>
      <c r="O344" s="660" t="s">
        <v>369</v>
      </c>
      <c r="P344" s="661"/>
      <c r="Q344" s="12" t="str">
        <f t="shared" si="38"/>
        <v>마감링|50A*85A|</v>
      </c>
    </row>
    <row r="345" spans="1:17">
      <c r="A345" s="494">
        <f t="shared" si="39"/>
        <v>337</v>
      </c>
      <c r="B345" s="490" t="s">
        <v>353</v>
      </c>
      <c r="C345" s="304" t="s">
        <v>359</v>
      </c>
      <c r="D345" s="305"/>
      <c r="E345" s="306">
        <v>680</v>
      </c>
      <c r="F345" s="306">
        <f t="shared" si="36"/>
        <v>1360</v>
      </c>
      <c r="G345" s="307">
        <f t="shared" si="37"/>
        <v>770</v>
      </c>
      <c r="H345" s="308"/>
      <c r="I345" s="309"/>
      <c r="J345" s="368"/>
      <c r="K345" s="309"/>
      <c r="L345" s="310"/>
      <c r="M345" s="311"/>
      <c r="N345" s="452"/>
      <c r="O345" s="660" t="s">
        <v>368</v>
      </c>
      <c r="P345" s="661"/>
      <c r="Q345" s="12" t="str">
        <f t="shared" si="38"/>
        <v>마감링|50A*85A|</v>
      </c>
    </row>
    <row r="346" spans="1:17">
      <c r="A346" s="494">
        <f t="shared" si="39"/>
        <v>338</v>
      </c>
      <c r="B346" s="490" t="s">
        <v>353</v>
      </c>
      <c r="C346" s="304" t="s">
        <v>360</v>
      </c>
      <c r="D346" s="305"/>
      <c r="E346" s="306">
        <v>750</v>
      </c>
      <c r="F346" s="306">
        <f t="shared" si="36"/>
        <v>1500</v>
      </c>
      <c r="G346" s="307">
        <f t="shared" si="37"/>
        <v>850</v>
      </c>
      <c r="H346" s="308"/>
      <c r="I346" s="309"/>
      <c r="J346" s="368"/>
      <c r="K346" s="309"/>
      <c r="L346" s="310"/>
      <c r="M346" s="311"/>
      <c r="N346" s="452"/>
      <c r="O346" s="660" t="s">
        <v>369</v>
      </c>
      <c r="P346" s="661"/>
      <c r="Q346" s="12" t="str">
        <f t="shared" si="38"/>
        <v>마감링|50A*105A|</v>
      </c>
    </row>
    <row r="347" spans="1:17">
      <c r="A347" s="494">
        <f t="shared" si="39"/>
        <v>339</v>
      </c>
      <c r="B347" s="490" t="s">
        <v>353</v>
      </c>
      <c r="C347" s="304" t="s">
        <v>360</v>
      </c>
      <c r="D347" s="305"/>
      <c r="E347" s="306">
        <v>750</v>
      </c>
      <c r="F347" s="306">
        <f t="shared" si="36"/>
        <v>1500</v>
      </c>
      <c r="G347" s="307">
        <f t="shared" si="37"/>
        <v>850</v>
      </c>
      <c r="H347" s="308"/>
      <c r="I347" s="309"/>
      <c r="J347" s="368"/>
      <c r="K347" s="309"/>
      <c r="L347" s="310"/>
      <c r="M347" s="311"/>
      <c r="N347" s="452"/>
      <c r="O347" s="660" t="s">
        <v>368</v>
      </c>
      <c r="P347" s="661"/>
      <c r="Q347" s="12" t="str">
        <f t="shared" si="38"/>
        <v>마감링|50A*105A|</v>
      </c>
    </row>
    <row r="348" spans="1:17">
      <c r="A348" s="494">
        <f t="shared" si="39"/>
        <v>340</v>
      </c>
      <c r="B348" s="490" t="s">
        <v>353</v>
      </c>
      <c r="C348" s="304" t="s">
        <v>361</v>
      </c>
      <c r="D348" s="305"/>
      <c r="E348" s="306">
        <v>900</v>
      </c>
      <c r="F348" s="306">
        <f t="shared" si="36"/>
        <v>1800</v>
      </c>
      <c r="G348" s="307">
        <f t="shared" si="37"/>
        <v>1020</v>
      </c>
      <c r="H348" s="308"/>
      <c r="I348" s="309"/>
      <c r="J348" s="368"/>
      <c r="K348" s="309"/>
      <c r="L348" s="310"/>
      <c r="M348" s="311"/>
      <c r="N348" s="452"/>
      <c r="O348" s="660" t="s">
        <v>369</v>
      </c>
      <c r="P348" s="661"/>
      <c r="Q348" s="12" t="str">
        <f t="shared" si="38"/>
        <v>마감링|65A*105A|</v>
      </c>
    </row>
    <row r="349" spans="1:17">
      <c r="A349" s="494">
        <f t="shared" si="39"/>
        <v>341</v>
      </c>
      <c r="B349" s="490" t="s">
        <v>353</v>
      </c>
      <c r="C349" s="304" t="s">
        <v>361</v>
      </c>
      <c r="D349" s="305"/>
      <c r="E349" s="306">
        <v>900</v>
      </c>
      <c r="F349" s="306">
        <f t="shared" ref="F349:F355" si="40">E349*$C$4</f>
        <v>1800</v>
      </c>
      <c r="G349" s="307">
        <f t="shared" si="37"/>
        <v>1020</v>
      </c>
      <c r="H349" s="308"/>
      <c r="I349" s="309"/>
      <c r="J349" s="368"/>
      <c r="K349" s="309"/>
      <c r="L349" s="310"/>
      <c r="M349" s="311"/>
      <c r="N349" s="452"/>
      <c r="O349" s="660" t="s">
        <v>368</v>
      </c>
      <c r="P349" s="661"/>
      <c r="Q349" s="12" t="str">
        <f t="shared" si="38"/>
        <v>마감링|65A*105A|</v>
      </c>
    </row>
    <row r="350" spans="1:17">
      <c r="A350" s="494">
        <f t="shared" si="39"/>
        <v>342</v>
      </c>
      <c r="B350" s="490" t="s">
        <v>353</v>
      </c>
      <c r="C350" s="304" t="s">
        <v>362</v>
      </c>
      <c r="D350" s="305"/>
      <c r="E350" s="306">
        <v>1000</v>
      </c>
      <c r="F350" s="306">
        <f t="shared" si="40"/>
        <v>2000</v>
      </c>
      <c r="G350" s="307">
        <f t="shared" ref="G350:G355" si="41">FLOOR(F350*$H$4,10)</f>
        <v>1140</v>
      </c>
      <c r="H350" s="308"/>
      <c r="I350" s="309"/>
      <c r="J350" s="368"/>
      <c r="K350" s="309"/>
      <c r="L350" s="310"/>
      <c r="M350" s="311"/>
      <c r="N350" s="452"/>
      <c r="O350" s="660" t="s">
        <v>369</v>
      </c>
      <c r="P350" s="661"/>
      <c r="Q350" s="12" t="str">
        <f t="shared" si="38"/>
        <v>마감링|65A*135A|</v>
      </c>
    </row>
    <row r="351" spans="1:17">
      <c r="A351" s="494">
        <f t="shared" si="39"/>
        <v>343</v>
      </c>
      <c r="B351" s="490" t="s">
        <v>353</v>
      </c>
      <c r="C351" s="304" t="s">
        <v>362</v>
      </c>
      <c r="D351" s="305"/>
      <c r="E351" s="306">
        <v>1000</v>
      </c>
      <c r="F351" s="306">
        <f t="shared" si="40"/>
        <v>2000</v>
      </c>
      <c r="G351" s="307">
        <f t="shared" si="41"/>
        <v>1140</v>
      </c>
      <c r="H351" s="308"/>
      <c r="I351" s="309"/>
      <c r="J351" s="368"/>
      <c r="K351" s="309"/>
      <c r="L351" s="310"/>
      <c r="M351" s="311"/>
      <c r="N351" s="452"/>
      <c r="O351" s="660" t="s">
        <v>366</v>
      </c>
      <c r="P351" s="661"/>
      <c r="Q351" s="12" t="str">
        <f t="shared" si="38"/>
        <v>마감링|65A*135A|</v>
      </c>
    </row>
    <row r="352" spans="1:17">
      <c r="A352" s="494">
        <f t="shared" si="39"/>
        <v>344</v>
      </c>
      <c r="B352" s="490" t="s">
        <v>353</v>
      </c>
      <c r="C352" s="304" t="s">
        <v>362</v>
      </c>
      <c r="D352" s="305"/>
      <c r="E352" s="306">
        <v>1000</v>
      </c>
      <c r="F352" s="306">
        <f t="shared" si="40"/>
        <v>2000</v>
      </c>
      <c r="G352" s="307">
        <f t="shared" si="41"/>
        <v>1140</v>
      </c>
      <c r="H352" s="308"/>
      <c r="I352" s="309"/>
      <c r="J352" s="368"/>
      <c r="K352" s="309"/>
      <c r="L352" s="310"/>
      <c r="M352" s="311"/>
      <c r="N352" s="452"/>
      <c r="O352" s="660" t="s">
        <v>370</v>
      </c>
      <c r="P352" s="661"/>
      <c r="Q352" s="12" t="str">
        <f t="shared" si="38"/>
        <v>마감링|65A*135A|</v>
      </c>
    </row>
    <row r="353" spans="1:17">
      <c r="A353" s="494">
        <f t="shared" si="39"/>
        <v>345</v>
      </c>
      <c r="B353" s="490" t="s">
        <v>353</v>
      </c>
      <c r="C353" s="304" t="s">
        <v>363</v>
      </c>
      <c r="D353" s="305"/>
      <c r="E353" s="306">
        <v>1000</v>
      </c>
      <c r="F353" s="306">
        <f t="shared" si="40"/>
        <v>2000</v>
      </c>
      <c r="G353" s="307">
        <f t="shared" si="41"/>
        <v>1140</v>
      </c>
      <c r="H353" s="308"/>
      <c r="I353" s="309"/>
      <c r="J353" s="368"/>
      <c r="K353" s="309"/>
      <c r="L353" s="310"/>
      <c r="M353" s="311"/>
      <c r="N353" s="452"/>
      <c r="O353" s="660" t="s">
        <v>369</v>
      </c>
      <c r="P353" s="661"/>
      <c r="Q353" s="12" t="str">
        <f t="shared" si="38"/>
        <v>마감링|75A*135A|</v>
      </c>
    </row>
    <row r="354" spans="1:17">
      <c r="A354" s="494">
        <f t="shared" si="39"/>
        <v>346</v>
      </c>
      <c r="B354" s="490" t="s">
        <v>353</v>
      </c>
      <c r="C354" s="304" t="s">
        <v>363</v>
      </c>
      <c r="D354" s="305"/>
      <c r="E354" s="306">
        <v>1000</v>
      </c>
      <c r="F354" s="306">
        <f t="shared" si="40"/>
        <v>2000</v>
      </c>
      <c r="G354" s="307">
        <f t="shared" si="41"/>
        <v>1140</v>
      </c>
      <c r="H354" s="308"/>
      <c r="I354" s="309"/>
      <c r="J354" s="368"/>
      <c r="K354" s="309"/>
      <c r="L354" s="310"/>
      <c r="M354" s="311"/>
      <c r="N354" s="452"/>
      <c r="O354" s="660" t="s">
        <v>368</v>
      </c>
      <c r="P354" s="661"/>
      <c r="Q354" s="12" t="str">
        <f t="shared" si="38"/>
        <v>마감링|75A*135A|</v>
      </c>
    </row>
    <row r="355" spans="1:17">
      <c r="A355" s="494">
        <f t="shared" si="39"/>
        <v>347</v>
      </c>
      <c r="B355" s="490" t="s">
        <v>353</v>
      </c>
      <c r="C355" s="304" t="s">
        <v>364</v>
      </c>
      <c r="D355" s="305"/>
      <c r="E355" s="306">
        <v>1100</v>
      </c>
      <c r="F355" s="306">
        <f t="shared" si="40"/>
        <v>2200</v>
      </c>
      <c r="G355" s="307">
        <f t="shared" si="41"/>
        <v>1250</v>
      </c>
      <c r="H355" s="308"/>
      <c r="I355" s="309"/>
      <c r="J355" s="368"/>
      <c r="K355" s="309"/>
      <c r="L355" s="310"/>
      <c r="M355" s="311"/>
      <c r="N355" s="452"/>
      <c r="O355" s="660" t="s">
        <v>369</v>
      </c>
      <c r="P355" s="661"/>
      <c r="Q355" s="12" t="str">
        <f t="shared" si="38"/>
        <v>마감링|100A*150A|</v>
      </c>
    </row>
    <row r="356" spans="1:17" ht="17.25" thickBot="1">
      <c r="A356" s="495">
        <f>A355+1</f>
        <v>348</v>
      </c>
      <c r="B356" s="491" t="s">
        <v>353</v>
      </c>
      <c r="C356" s="312" t="s">
        <v>364</v>
      </c>
      <c r="D356" s="313"/>
      <c r="E356" s="314">
        <v>1100</v>
      </c>
      <c r="F356" s="314">
        <f t="shared" ref="F356:F364" si="42">E356*$C$4</f>
        <v>2200</v>
      </c>
      <c r="G356" s="207">
        <f t="shared" ref="G356:G364" si="43">FLOOR(F356*$H$4,10)</f>
        <v>1250</v>
      </c>
      <c r="H356" s="146"/>
      <c r="I356" s="251"/>
      <c r="J356" s="371"/>
      <c r="K356" s="251"/>
      <c r="L356" s="252"/>
      <c r="M356" s="253"/>
      <c r="N356" s="457"/>
      <c r="O356" s="611" t="s">
        <v>368</v>
      </c>
      <c r="P356" s="662"/>
      <c r="Q356" s="12" t="str">
        <f t="shared" ref="Q356:Q364" si="44">B356&amp;"|"&amp;C356&amp;"|"&amp;D356</f>
        <v>마감링|100A*150A|</v>
      </c>
    </row>
    <row r="357" spans="1:17">
      <c r="A357" s="498">
        <f t="shared" ref="A357:A364" si="45">A356+1</f>
        <v>349</v>
      </c>
      <c r="B357" s="492" t="s">
        <v>437</v>
      </c>
      <c r="C357" s="499" t="s">
        <v>47</v>
      </c>
      <c r="D357" s="500"/>
      <c r="E357" s="501">
        <v>16090</v>
      </c>
      <c r="F357" s="501">
        <f t="shared" si="42"/>
        <v>32180</v>
      </c>
      <c r="G357" s="502">
        <f t="shared" si="43"/>
        <v>18340</v>
      </c>
      <c r="H357" s="503" t="s">
        <v>433</v>
      </c>
      <c r="I357" s="504">
        <v>752</v>
      </c>
      <c r="J357" s="376">
        <f>I357 / 3600</f>
        <v>0.2088888888888889</v>
      </c>
      <c r="K357" s="504"/>
      <c r="L357" s="505"/>
      <c r="M357" s="506"/>
      <c r="N357" s="463"/>
      <c r="O357" s="507"/>
      <c r="P357" s="508"/>
      <c r="Q357" s="12" t="str">
        <f t="shared" si="44"/>
        <v>원형덕트|100A|</v>
      </c>
    </row>
    <row r="358" spans="1:17">
      <c r="A358" s="494">
        <f t="shared" si="45"/>
        <v>350</v>
      </c>
      <c r="B358" s="492" t="s">
        <v>436</v>
      </c>
      <c r="C358" s="499" t="s">
        <v>48</v>
      </c>
      <c r="D358" s="500"/>
      <c r="E358" s="501">
        <v>17820</v>
      </c>
      <c r="F358" s="501">
        <f t="shared" si="42"/>
        <v>35640</v>
      </c>
      <c r="G358" s="502">
        <f t="shared" si="43"/>
        <v>20310</v>
      </c>
      <c r="H358" s="503" t="s">
        <v>432</v>
      </c>
      <c r="I358" s="504">
        <v>942</v>
      </c>
      <c r="J358" s="376">
        <f t="shared" ref="J358:J364" si="46">I358 / 3600</f>
        <v>0.26166666666666666</v>
      </c>
      <c r="K358" s="504"/>
      <c r="L358" s="505"/>
      <c r="M358" s="506"/>
      <c r="N358" s="463"/>
      <c r="O358" s="507"/>
      <c r="P358" s="508"/>
      <c r="Q358" s="12" t="str">
        <f t="shared" si="44"/>
        <v>원형덕트|125A|</v>
      </c>
    </row>
    <row r="359" spans="1:17">
      <c r="A359" s="494">
        <f t="shared" si="45"/>
        <v>351</v>
      </c>
      <c r="B359" s="492" t="s">
        <v>436</v>
      </c>
      <c r="C359" s="499" t="s">
        <v>49</v>
      </c>
      <c r="D359" s="500"/>
      <c r="E359" s="501">
        <v>19550</v>
      </c>
      <c r="F359" s="501">
        <f t="shared" si="42"/>
        <v>39100</v>
      </c>
      <c r="G359" s="502">
        <f t="shared" si="43"/>
        <v>22280</v>
      </c>
      <c r="H359" s="503" t="s">
        <v>432</v>
      </c>
      <c r="I359" s="504">
        <v>1130</v>
      </c>
      <c r="J359" s="376">
        <f t="shared" si="46"/>
        <v>0.31388888888888888</v>
      </c>
      <c r="K359" s="504"/>
      <c r="L359" s="505"/>
      <c r="M359" s="506"/>
      <c r="N359" s="463"/>
      <c r="O359" s="507"/>
      <c r="P359" s="508"/>
      <c r="Q359" s="12" t="str">
        <f t="shared" si="44"/>
        <v>원형덕트|150A|</v>
      </c>
    </row>
    <row r="360" spans="1:17">
      <c r="A360" s="494">
        <f t="shared" si="45"/>
        <v>352</v>
      </c>
      <c r="B360" s="492" t="s">
        <v>436</v>
      </c>
      <c r="C360" s="499" t="s">
        <v>50</v>
      </c>
      <c r="D360" s="500"/>
      <c r="E360" s="501">
        <v>23570</v>
      </c>
      <c r="F360" s="501">
        <f t="shared" si="42"/>
        <v>47140</v>
      </c>
      <c r="G360" s="502">
        <f t="shared" si="43"/>
        <v>26860</v>
      </c>
      <c r="H360" s="503" t="s">
        <v>432</v>
      </c>
      <c r="I360" s="504">
        <v>1506</v>
      </c>
      <c r="J360" s="376">
        <f t="shared" si="46"/>
        <v>0.41833333333333333</v>
      </c>
      <c r="K360" s="504"/>
      <c r="L360" s="505"/>
      <c r="M360" s="506"/>
      <c r="N360" s="463"/>
      <c r="O360" s="507"/>
      <c r="P360" s="508"/>
      <c r="Q360" s="12" t="str">
        <f t="shared" si="44"/>
        <v>원형덕트|200A|</v>
      </c>
    </row>
    <row r="361" spans="1:17">
      <c r="A361" s="494">
        <f t="shared" si="45"/>
        <v>353</v>
      </c>
      <c r="B361" s="492" t="s">
        <v>436</v>
      </c>
      <c r="C361" s="499" t="s">
        <v>51</v>
      </c>
      <c r="D361" s="500"/>
      <c r="E361" s="501">
        <v>27590</v>
      </c>
      <c r="F361" s="501">
        <f t="shared" si="42"/>
        <v>55180</v>
      </c>
      <c r="G361" s="502">
        <f t="shared" si="43"/>
        <v>31450</v>
      </c>
      <c r="H361" s="503" t="s">
        <v>432</v>
      </c>
      <c r="I361" s="504">
        <v>1884</v>
      </c>
      <c r="J361" s="376">
        <f t="shared" si="46"/>
        <v>0.52333333333333332</v>
      </c>
      <c r="K361" s="504"/>
      <c r="L361" s="505"/>
      <c r="M361" s="506"/>
      <c r="N361" s="463"/>
      <c r="O361" s="507"/>
      <c r="P361" s="508"/>
      <c r="Q361" s="12" t="str">
        <f t="shared" si="44"/>
        <v>원형덕트|250A|</v>
      </c>
    </row>
    <row r="362" spans="1:17">
      <c r="A362" s="494">
        <f t="shared" si="45"/>
        <v>354</v>
      </c>
      <c r="B362" s="492" t="s">
        <v>436</v>
      </c>
      <c r="C362" s="499" t="s">
        <v>429</v>
      </c>
      <c r="D362" s="500"/>
      <c r="E362" s="501">
        <v>31620</v>
      </c>
      <c r="F362" s="501">
        <f t="shared" si="42"/>
        <v>63240</v>
      </c>
      <c r="G362" s="502">
        <f t="shared" si="43"/>
        <v>36040</v>
      </c>
      <c r="H362" s="503" t="s">
        <v>432</v>
      </c>
      <c r="I362" s="504">
        <v>2260</v>
      </c>
      <c r="J362" s="376">
        <f t="shared" si="46"/>
        <v>0.62777777777777777</v>
      </c>
      <c r="K362" s="504"/>
      <c r="L362" s="505"/>
      <c r="M362" s="506"/>
      <c r="N362" s="463"/>
      <c r="O362" s="507"/>
      <c r="P362" s="508"/>
      <c r="Q362" s="12" t="str">
        <f t="shared" si="44"/>
        <v>원형덕트|300A|</v>
      </c>
    </row>
    <row r="363" spans="1:17">
      <c r="A363" s="494">
        <f t="shared" si="45"/>
        <v>355</v>
      </c>
      <c r="B363" s="492" t="s">
        <v>436</v>
      </c>
      <c r="C363" s="499" t="s">
        <v>430</v>
      </c>
      <c r="D363" s="500"/>
      <c r="E363" s="501">
        <v>35070</v>
      </c>
      <c r="F363" s="501">
        <f t="shared" si="42"/>
        <v>70140</v>
      </c>
      <c r="G363" s="502">
        <f t="shared" si="43"/>
        <v>39970</v>
      </c>
      <c r="H363" s="503" t="s">
        <v>432</v>
      </c>
      <c r="I363" s="504">
        <v>2636</v>
      </c>
      <c r="J363" s="376">
        <f t="shared" si="46"/>
        <v>0.73222222222222222</v>
      </c>
      <c r="K363" s="504"/>
      <c r="L363" s="505"/>
      <c r="M363" s="506"/>
      <c r="N363" s="463"/>
      <c r="O363" s="507"/>
      <c r="P363" s="508"/>
      <c r="Q363" s="12" t="str">
        <f t="shared" si="44"/>
        <v>원형덕트|350A|</v>
      </c>
    </row>
    <row r="364" spans="1:17" ht="17.25" thickBot="1">
      <c r="A364" s="495">
        <f t="shared" si="45"/>
        <v>356</v>
      </c>
      <c r="B364" s="486" t="s">
        <v>436</v>
      </c>
      <c r="C364" s="509" t="s">
        <v>431</v>
      </c>
      <c r="D364" s="510"/>
      <c r="E364" s="422">
        <v>39100</v>
      </c>
      <c r="F364" s="422">
        <f t="shared" si="42"/>
        <v>78200</v>
      </c>
      <c r="G364" s="511">
        <f t="shared" si="43"/>
        <v>44570</v>
      </c>
      <c r="H364" s="512" t="s">
        <v>432</v>
      </c>
      <c r="I364" s="425">
        <v>3014</v>
      </c>
      <c r="J364" s="426">
        <f t="shared" si="46"/>
        <v>0.8372222222222222</v>
      </c>
      <c r="K364" s="425"/>
      <c r="L364" s="427"/>
      <c r="M364" s="428"/>
      <c r="N364" s="460"/>
      <c r="O364" s="464"/>
      <c r="P364" s="465"/>
      <c r="Q364" s="12" t="str">
        <f t="shared" si="44"/>
        <v>원형덕트|400A|</v>
      </c>
    </row>
  </sheetData>
  <mergeCells count="374">
    <mergeCell ref="N7:N8"/>
    <mergeCell ref="O351:P351"/>
    <mergeCell ref="O352:P352"/>
    <mergeCell ref="O353:P353"/>
    <mergeCell ref="O354:P354"/>
    <mergeCell ref="O355:P355"/>
    <mergeCell ref="O356:P356"/>
    <mergeCell ref="H4:H5"/>
    <mergeCell ref="H2:H3"/>
    <mergeCell ref="O342:P342"/>
    <mergeCell ref="O343:P343"/>
    <mergeCell ref="O344:P344"/>
    <mergeCell ref="O345:P345"/>
    <mergeCell ref="O346:P346"/>
    <mergeCell ref="O347:P347"/>
    <mergeCell ref="O348:P348"/>
    <mergeCell ref="O349:P349"/>
    <mergeCell ref="O350:P350"/>
    <mergeCell ref="O333:P333"/>
    <mergeCell ref="O334:P334"/>
    <mergeCell ref="O335:P335"/>
    <mergeCell ref="O336:P336"/>
    <mergeCell ref="O337:P337"/>
    <mergeCell ref="O338:P338"/>
    <mergeCell ref="O339:P339"/>
    <mergeCell ref="O340:P340"/>
    <mergeCell ref="O341:P341"/>
    <mergeCell ref="O324:P324"/>
    <mergeCell ref="O325:P325"/>
    <mergeCell ref="O326:P326"/>
    <mergeCell ref="O327:P327"/>
    <mergeCell ref="O328:P328"/>
    <mergeCell ref="O329:P329"/>
    <mergeCell ref="O330:P330"/>
    <mergeCell ref="O331:P331"/>
    <mergeCell ref="O332:P332"/>
    <mergeCell ref="O315:P315"/>
    <mergeCell ref="O316:P316"/>
    <mergeCell ref="O317:P317"/>
    <mergeCell ref="O318:P318"/>
    <mergeCell ref="O319:P319"/>
    <mergeCell ref="O320:P320"/>
    <mergeCell ref="O321:P321"/>
    <mergeCell ref="O322:P322"/>
    <mergeCell ref="O323:P323"/>
    <mergeCell ref="O306:P306"/>
    <mergeCell ref="O307:P307"/>
    <mergeCell ref="O308:P308"/>
    <mergeCell ref="O309:P309"/>
    <mergeCell ref="O310:P310"/>
    <mergeCell ref="O311:P311"/>
    <mergeCell ref="O312:P312"/>
    <mergeCell ref="O313:P313"/>
    <mergeCell ref="O314:P314"/>
    <mergeCell ref="O297:P297"/>
    <mergeCell ref="O298:P298"/>
    <mergeCell ref="O299:P299"/>
    <mergeCell ref="O300:P300"/>
    <mergeCell ref="O301:P301"/>
    <mergeCell ref="O302:P302"/>
    <mergeCell ref="O303:P303"/>
    <mergeCell ref="O304:P304"/>
    <mergeCell ref="O305:P305"/>
    <mergeCell ref="O288:P288"/>
    <mergeCell ref="O289:P289"/>
    <mergeCell ref="O290:P290"/>
    <mergeCell ref="O291:P291"/>
    <mergeCell ref="O292:P292"/>
    <mergeCell ref="O293:P293"/>
    <mergeCell ref="O294:P294"/>
    <mergeCell ref="O295:P295"/>
    <mergeCell ref="O296:P296"/>
    <mergeCell ref="O279:P279"/>
    <mergeCell ref="O280:P280"/>
    <mergeCell ref="O281:P281"/>
    <mergeCell ref="O282:P282"/>
    <mergeCell ref="O283:P283"/>
    <mergeCell ref="O284:P284"/>
    <mergeCell ref="O285:P285"/>
    <mergeCell ref="O286:P286"/>
    <mergeCell ref="O287:P287"/>
    <mergeCell ref="O256:P256"/>
    <mergeCell ref="O255:P255"/>
    <mergeCell ref="O272:P272"/>
    <mergeCell ref="O273:P273"/>
    <mergeCell ref="O274:P274"/>
    <mergeCell ref="O275:P275"/>
    <mergeCell ref="O276:P276"/>
    <mergeCell ref="O277:P277"/>
    <mergeCell ref="O278:P278"/>
    <mergeCell ref="O269:P269"/>
    <mergeCell ref="O270:P270"/>
    <mergeCell ref="O271:P271"/>
    <mergeCell ref="O263:P263"/>
    <mergeCell ref="O264:P264"/>
    <mergeCell ref="O265:P265"/>
    <mergeCell ref="O266:P266"/>
    <mergeCell ref="O267:P267"/>
    <mergeCell ref="O268:P268"/>
    <mergeCell ref="O262:P262"/>
    <mergeCell ref="O260:P260"/>
    <mergeCell ref="O261:P261"/>
    <mergeCell ref="O71:P71"/>
    <mergeCell ref="O72:P72"/>
    <mergeCell ref="O65:P65"/>
    <mergeCell ref="O66:P66"/>
    <mergeCell ref="O69:P69"/>
    <mergeCell ref="O23:P23"/>
    <mergeCell ref="O24:P24"/>
    <mergeCell ref="O26:P26"/>
    <mergeCell ref="O40:P40"/>
    <mergeCell ref="O41:P41"/>
    <mergeCell ref="O54:P54"/>
    <mergeCell ref="O55:P55"/>
    <mergeCell ref="O34:P34"/>
    <mergeCell ref="O35:P35"/>
    <mergeCell ref="O37:P37"/>
    <mergeCell ref="O38:P38"/>
    <mergeCell ref="O39:P39"/>
    <mergeCell ref="O51:P51"/>
    <mergeCell ref="O52:P52"/>
    <mergeCell ref="O70:P70"/>
    <mergeCell ref="O61:P61"/>
    <mergeCell ref="O62:P62"/>
    <mergeCell ref="O63:P63"/>
    <mergeCell ref="O64:P64"/>
    <mergeCell ref="B2:B5"/>
    <mergeCell ref="C2:C3"/>
    <mergeCell ref="D2:G3"/>
    <mergeCell ref="C4:C5"/>
    <mergeCell ref="D4:G5"/>
    <mergeCell ref="O13:P13"/>
    <mergeCell ref="O14:P14"/>
    <mergeCell ref="O15:P15"/>
    <mergeCell ref="O11:P11"/>
    <mergeCell ref="O12:P12"/>
    <mergeCell ref="H7:H8"/>
    <mergeCell ref="L7:L8"/>
    <mergeCell ref="K7:K8"/>
    <mergeCell ref="M7:M8"/>
    <mergeCell ref="G7:G8"/>
    <mergeCell ref="B7:B8"/>
    <mergeCell ref="C7:D7"/>
    <mergeCell ref="E7:E8"/>
    <mergeCell ref="F7:F8"/>
    <mergeCell ref="O7:P8"/>
    <mergeCell ref="O9:P9"/>
    <mergeCell ref="O10:P10"/>
    <mergeCell ref="I6:M6"/>
    <mergeCell ref="I2:P3"/>
    <mergeCell ref="O57:P57"/>
    <mergeCell ref="O58:P58"/>
    <mergeCell ref="O59:P59"/>
    <mergeCell ref="O60:P60"/>
    <mergeCell ref="O89:P89"/>
    <mergeCell ref="O90:P90"/>
    <mergeCell ref="O92:P92"/>
    <mergeCell ref="O93:P93"/>
    <mergeCell ref="O91:P91"/>
    <mergeCell ref="O73:P73"/>
    <mergeCell ref="O85:P85"/>
    <mergeCell ref="O86:P86"/>
    <mergeCell ref="O87:P87"/>
    <mergeCell ref="O88:P88"/>
    <mergeCell ref="O81:P81"/>
    <mergeCell ref="O82:P82"/>
    <mergeCell ref="O83:P83"/>
    <mergeCell ref="O84:P84"/>
    <mergeCell ref="O77:P77"/>
    <mergeCell ref="O78:P78"/>
    <mergeCell ref="O80:P80"/>
    <mergeCell ref="O79:P79"/>
    <mergeCell ref="O74:P74"/>
    <mergeCell ref="O75:P75"/>
    <mergeCell ref="O76:P76"/>
    <mergeCell ref="O99:P99"/>
    <mergeCell ref="O100:P100"/>
    <mergeCell ref="O101:P101"/>
    <mergeCell ref="O102:P102"/>
    <mergeCell ref="O103:P103"/>
    <mergeCell ref="O94:P94"/>
    <mergeCell ref="O95:P95"/>
    <mergeCell ref="O96:P96"/>
    <mergeCell ref="O97:P97"/>
    <mergeCell ref="O98:P98"/>
    <mergeCell ref="O109:P109"/>
    <mergeCell ref="O110:P110"/>
    <mergeCell ref="O111:P111"/>
    <mergeCell ref="O112:P112"/>
    <mergeCell ref="O113:P113"/>
    <mergeCell ref="O104:P104"/>
    <mergeCell ref="O105:P105"/>
    <mergeCell ref="O106:P106"/>
    <mergeCell ref="O107:P107"/>
    <mergeCell ref="O108:P108"/>
    <mergeCell ref="O124:P124"/>
    <mergeCell ref="O125:P125"/>
    <mergeCell ref="O126:P126"/>
    <mergeCell ref="O127:P127"/>
    <mergeCell ref="O128:P128"/>
    <mergeCell ref="O114:P114"/>
    <mergeCell ref="O115:P115"/>
    <mergeCell ref="O116:P116"/>
    <mergeCell ref="O117:P117"/>
    <mergeCell ref="O118:P118"/>
    <mergeCell ref="O119:P119"/>
    <mergeCell ref="O120:P120"/>
    <mergeCell ref="O121:P121"/>
    <mergeCell ref="O122:P122"/>
    <mergeCell ref="O123:P123"/>
    <mergeCell ref="O138:P138"/>
    <mergeCell ref="O139:P139"/>
    <mergeCell ref="O140:P140"/>
    <mergeCell ref="O132:P132"/>
    <mergeCell ref="O133:P133"/>
    <mergeCell ref="O134:P134"/>
    <mergeCell ref="O135:P135"/>
    <mergeCell ref="O136:P136"/>
    <mergeCell ref="O129:P129"/>
    <mergeCell ref="O130:P130"/>
    <mergeCell ref="O131:P131"/>
    <mergeCell ref="O198:P198"/>
    <mergeCell ref="O199:P199"/>
    <mergeCell ref="O200:P200"/>
    <mergeCell ref="O192:P192"/>
    <mergeCell ref="O193:P193"/>
    <mergeCell ref="O194:P194"/>
    <mergeCell ref="O195:P195"/>
    <mergeCell ref="O187:P187"/>
    <mergeCell ref="O188:P188"/>
    <mergeCell ref="O189:P189"/>
    <mergeCell ref="O190:P190"/>
    <mergeCell ref="O191:P191"/>
    <mergeCell ref="O196:P196"/>
    <mergeCell ref="O197:P197"/>
    <mergeCell ref="O206:P206"/>
    <mergeCell ref="O207:P207"/>
    <mergeCell ref="O208:P208"/>
    <mergeCell ref="O209:P209"/>
    <mergeCell ref="O210:P210"/>
    <mergeCell ref="O201:P201"/>
    <mergeCell ref="O202:P202"/>
    <mergeCell ref="O203:P203"/>
    <mergeCell ref="O204:P204"/>
    <mergeCell ref="O205:P205"/>
    <mergeCell ref="O217:P217"/>
    <mergeCell ref="O218:P218"/>
    <mergeCell ref="O219:P219"/>
    <mergeCell ref="O220:P220"/>
    <mergeCell ref="O211:P211"/>
    <mergeCell ref="O212:P212"/>
    <mergeCell ref="O213:P213"/>
    <mergeCell ref="O214:P214"/>
    <mergeCell ref="O215:P215"/>
    <mergeCell ref="R8:T8"/>
    <mergeCell ref="O17:P17"/>
    <mergeCell ref="O18:P18"/>
    <mergeCell ref="O16:P16"/>
    <mergeCell ref="O254:P254"/>
    <mergeCell ref="O252:P252"/>
    <mergeCell ref="O253:P253"/>
    <mergeCell ref="O247:P247"/>
    <mergeCell ref="O248:P248"/>
    <mergeCell ref="O249:P249"/>
    <mergeCell ref="O250:P250"/>
    <mergeCell ref="O251:P251"/>
    <mergeCell ref="O242:P242"/>
    <mergeCell ref="O243:P243"/>
    <mergeCell ref="O244:P244"/>
    <mergeCell ref="O245:P245"/>
    <mergeCell ref="O246:P246"/>
    <mergeCell ref="O239:P239"/>
    <mergeCell ref="O240:P240"/>
    <mergeCell ref="O241:P241"/>
    <mergeCell ref="O234:P234"/>
    <mergeCell ref="Q7:Q8"/>
    <mergeCell ref="O186:P186"/>
    <mergeCell ref="O68:P68"/>
    <mergeCell ref="I4:P5"/>
    <mergeCell ref="O257:P257"/>
    <mergeCell ref="O258:P258"/>
    <mergeCell ref="O259:P259"/>
    <mergeCell ref="O49:P49"/>
    <mergeCell ref="O50:P50"/>
    <mergeCell ref="O235:P235"/>
    <mergeCell ref="O236:P236"/>
    <mergeCell ref="O237:P237"/>
    <mergeCell ref="O238:P238"/>
    <mergeCell ref="O231:P231"/>
    <mergeCell ref="O232:P232"/>
    <mergeCell ref="O233:P233"/>
    <mergeCell ref="O226:P226"/>
    <mergeCell ref="O227:P227"/>
    <mergeCell ref="O228:P228"/>
    <mergeCell ref="O229:P229"/>
    <mergeCell ref="O230:P230"/>
    <mergeCell ref="O221:P221"/>
    <mergeCell ref="O222:P222"/>
    <mergeCell ref="O223:P223"/>
    <mergeCell ref="O224:P224"/>
    <mergeCell ref="O225:P225"/>
    <mergeCell ref="O216:P216"/>
    <mergeCell ref="O181:P181"/>
    <mergeCell ref="O172:P172"/>
    <mergeCell ref="O173:P173"/>
    <mergeCell ref="O174:P174"/>
    <mergeCell ref="O175:P175"/>
    <mergeCell ref="O176:P176"/>
    <mergeCell ref="U10:V10"/>
    <mergeCell ref="O25:P25"/>
    <mergeCell ref="O28:P28"/>
    <mergeCell ref="O32:P32"/>
    <mergeCell ref="O36:P36"/>
    <mergeCell ref="O42:P42"/>
    <mergeCell ref="O43:P43"/>
    <mergeCell ref="O44:P44"/>
    <mergeCell ref="O67:P67"/>
    <mergeCell ref="O45:P45"/>
    <mergeCell ref="O53:P53"/>
    <mergeCell ref="O47:P47"/>
    <mergeCell ref="O48:P48"/>
    <mergeCell ref="O20:P20"/>
    <mergeCell ref="O21:P21"/>
    <mergeCell ref="O22:P22"/>
    <mergeCell ref="O27:P27"/>
    <mergeCell ref="O29:P29"/>
    <mergeCell ref="O145:P145"/>
    <mergeCell ref="O146:P146"/>
    <mergeCell ref="O147:P147"/>
    <mergeCell ref="J7:J8"/>
    <mergeCell ref="A7:A8"/>
    <mergeCell ref="O153:P153"/>
    <mergeCell ref="O154:P154"/>
    <mergeCell ref="O155:P155"/>
    <mergeCell ref="O148:P148"/>
    <mergeCell ref="O149:P149"/>
    <mergeCell ref="O151:P151"/>
    <mergeCell ref="O152:P152"/>
    <mergeCell ref="O150:P150"/>
    <mergeCell ref="O30:P30"/>
    <mergeCell ref="O31:P31"/>
    <mergeCell ref="O33:P33"/>
    <mergeCell ref="O46:P46"/>
    <mergeCell ref="O19:P19"/>
    <mergeCell ref="O56:P56"/>
    <mergeCell ref="O144:P144"/>
    <mergeCell ref="O141:P141"/>
    <mergeCell ref="O142:P142"/>
    <mergeCell ref="O143:P143"/>
    <mergeCell ref="O137:P137"/>
    <mergeCell ref="O167:P167"/>
    <mergeCell ref="O168:P168"/>
    <mergeCell ref="O169:P169"/>
    <mergeCell ref="O170:P170"/>
    <mergeCell ref="O171:P171"/>
    <mergeCell ref="O184:P184"/>
    <mergeCell ref="O185:P185"/>
    <mergeCell ref="O156:P156"/>
    <mergeCell ref="O157:P157"/>
    <mergeCell ref="O158:P158"/>
    <mergeCell ref="O159:P159"/>
    <mergeCell ref="O160:P160"/>
    <mergeCell ref="O163:P163"/>
    <mergeCell ref="O164:P164"/>
    <mergeCell ref="O161:P161"/>
    <mergeCell ref="O162:P162"/>
    <mergeCell ref="O165:P165"/>
    <mergeCell ref="O166:P166"/>
    <mergeCell ref="O182:P182"/>
    <mergeCell ref="O183:P183"/>
    <mergeCell ref="O177:P177"/>
    <mergeCell ref="O178:P178"/>
    <mergeCell ref="O179:P179"/>
    <mergeCell ref="O180:P180"/>
  </mergeCells>
  <phoneticPr fontId="28" type="noConversion"/>
  <dataValidations count="1">
    <dataValidation type="list" allowBlank="1" showInputMessage="1" showErrorMessage="1" sqref="D4:G5" xr:uid="{FCC57DE5-BBB3-4C6A-BB68-7CCC110432F0}">
      <formula1>$U$3:$U$5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F1F0EA2-7E45-46CF-951B-C06F4B710008}">
            <xm:f>NOT(ISERROR(SEARCH("대구경 인정서",O1)))</xm:f>
            <xm:f>"대구경 인정서"</xm:f>
            <x14:dxf>
              <fill>
                <patternFill>
                  <bgColor rgb="FFFFFF00"/>
                </patternFill>
              </fill>
            </x14:dxf>
          </x14:cfRule>
          <xm:sqref>O1:O364 O366:O1048576</xm:sqref>
        </x14:conditionalFormatting>
        <x14:conditionalFormatting xmlns:xm="http://schemas.microsoft.com/office/excel/2006/main">
          <x14:cfRule type="containsText" priority="1" operator="containsText" id="{826AC820-228D-4EA9-B236-F113BE6D9D31}">
            <xm:f>NOT(ISERROR(SEARCH("대구경 인정서",U10)))</xm:f>
            <xm:f>"대구경 인정서"</xm:f>
            <x14:dxf>
              <fill>
                <patternFill>
                  <bgColor rgb="FFFFFF00"/>
                </patternFill>
              </fill>
            </x14:dxf>
          </x14:cfRule>
          <xm:sqref>U10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5CEB4-B78C-4DCD-9241-29C7BA548EAA}">
  <sheetPr codeName="Sheet2"/>
  <dimension ref="A1:P29"/>
  <sheetViews>
    <sheetView workbookViewId="0">
      <selection activeCell="M23" sqref="M23"/>
    </sheetView>
  </sheetViews>
  <sheetFormatPr defaultRowHeight="16.5"/>
  <cols>
    <col min="2" max="2" width="13.125" bestFit="1" customWidth="1"/>
    <col min="3" max="3" width="21.125" customWidth="1"/>
    <col min="4" max="4" width="19.625" customWidth="1"/>
    <col min="5" max="6" width="11" bestFit="1" customWidth="1"/>
    <col min="7" max="7" width="11.125" bestFit="1" customWidth="1"/>
  </cols>
  <sheetData>
    <row r="1" spans="1:8">
      <c r="A1" s="4"/>
      <c r="B1" s="4"/>
      <c r="C1" s="4"/>
      <c r="D1" s="4"/>
      <c r="E1" s="4"/>
      <c r="F1" s="4"/>
      <c r="G1" s="4"/>
      <c r="H1" s="4"/>
    </row>
    <row r="2" spans="1:8">
      <c r="A2" s="4"/>
      <c r="B2" s="4"/>
      <c r="C2" s="4"/>
      <c r="D2" s="4"/>
      <c r="E2" s="4"/>
      <c r="F2" s="4"/>
      <c r="G2" s="4"/>
      <c r="H2" s="4"/>
    </row>
    <row r="3" spans="1:8">
      <c r="A3" s="4"/>
      <c r="B3" s="4"/>
      <c r="C3" s="4"/>
      <c r="D3" s="4"/>
      <c r="E3" s="4"/>
      <c r="F3" s="4"/>
      <c r="G3" s="4"/>
      <c r="H3" s="4"/>
    </row>
    <row r="4" spans="1:8" ht="17.25">
      <c r="A4" s="4"/>
      <c r="B4" s="677" t="s">
        <v>0</v>
      </c>
      <c r="C4" s="677"/>
      <c r="D4" s="677"/>
      <c r="E4" s="4"/>
      <c r="F4" s="675" t="s">
        <v>1</v>
      </c>
      <c r="G4" s="676"/>
      <c r="H4" s="4"/>
    </row>
    <row r="5" spans="1:8">
      <c r="A5" s="4"/>
      <c r="B5" s="2" t="s">
        <v>2</v>
      </c>
      <c r="C5" s="669" t="s">
        <v>415</v>
      </c>
      <c r="D5" s="670"/>
      <c r="E5" s="4"/>
      <c r="F5" s="5" t="s">
        <v>3</v>
      </c>
      <c r="G5" s="5" t="s">
        <v>79</v>
      </c>
      <c r="H5" s="4"/>
    </row>
    <row r="6" spans="1:8">
      <c r="A6" s="4"/>
      <c r="B6" s="2" t="s">
        <v>0</v>
      </c>
      <c r="C6" s="671">
        <v>46058</v>
      </c>
      <c r="D6" s="672"/>
      <c r="E6" s="4"/>
      <c r="F6" s="5"/>
      <c r="G6" s="5"/>
      <c r="H6" s="4"/>
    </row>
    <row r="7" spans="1:8">
      <c r="A7" s="4"/>
      <c r="B7" s="2" t="s">
        <v>4</v>
      </c>
      <c r="C7" s="673">
        <v>46072</v>
      </c>
      <c r="D7" s="674"/>
      <c r="E7" s="4"/>
      <c r="F7" s="5"/>
      <c r="G7" s="5"/>
      <c r="H7" s="4"/>
    </row>
    <row r="8" spans="1:8">
      <c r="A8" s="4"/>
      <c r="B8" s="2" t="s">
        <v>5</v>
      </c>
      <c r="C8" s="678" t="s">
        <v>416</v>
      </c>
      <c r="D8" s="679"/>
      <c r="E8" s="4"/>
      <c r="F8" s="2"/>
      <c r="G8" s="2"/>
      <c r="H8" s="4"/>
    </row>
    <row r="9" spans="1:8">
      <c r="A9" s="4"/>
      <c r="B9" s="2" t="s">
        <v>6</v>
      </c>
      <c r="C9" s="669" t="s">
        <v>402</v>
      </c>
      <c r="D9" s="670"/>
      <c r="E9" s="4"/>
      <c r="F9" s="5"/>
      <c r="G9" s="5"/>
      <c r="H9" s="4"/>
    </row>
    <row r="10" spans="1:8">
      <c r="A10" s="4"/>
      <c r="B10" s="2" t="s">
        <v>120</v>
      </c>
      <c r="C10" s="669" t="s">
        <v>403</v>
      </c>
      <c r="D10" s="670"/>
      <c r="E10" s="4"/>
      <c r="F10" s="5"/>
      <c r="G10" s="5"/>
      <c r="H10" s="4"/>
    </row>
    <row r="11" spans="1:8">
      <c r="A11" s="4"/>
      <c r="B11" s="2" t="s">
        <v>35</v>
      </c>
      <c r="C11" s="669" t="s">
        <v>404</v>
      </c>
      <c r="D11" s="670"/>
      <c r="E11" s="4"/>
      <c r="F11" s="5"/>
      <c r="G11" s="5"/>
      <c r="H11" s="4"/>
    </row>
    <row r="12" spans="1:8">
      <c r="A12" s="4"/>
      <c r="B12" s="2" t="s">
        <v>118</v>
      </c>
      <c r="C12" s="680" t="s">
        <v>405</v>
      </c>
      <c r="D12" s="681"/>
      <c r="E12" s="4"/>
      <c r="F12" s="5"/>
      <c r="G12" s="5"/>
      <c r="H12" s="4"/>
    </row>
    <row r="13" spans="1:8">
      <c r="A13" s="4"/>
      <c r="B13" s="2" t="s">
        <v>7</v>
      </c>
      <c r="C13" s="669" t="s">
        <v>406</v>
      </c>
      <c r="D13" s="670"/>
      <c r="E13" s="4"/>
      <c r="F13" s="5"/>
      <c r="G13" s="5"/>
      <c r="H13" s="4"/>
    </row>
    <row r="14" spans="1:8">
      <c r="A14" s="4"/>
      <c r="B14" s="2" t="s">
        <v>8</v>
      </c>
      <c r="C14" s="669" t="s">
        <v>417</v>
      </c>
      <c r="D14" s="670"/>
      <c r="E14" s="4"/>
      <c r="F14" s="5"/>
      <c r="G14" s="5"/>
      <c r="H14" s="4"/>
    </row>
    <row r="15" spans="1:8">
      <c r="A15" s="4"/>
      <c r="B15" s="4"/>
      <c r="C15" s="4"/>
      <c r="D15" s="4"/>
      <c r="E15" s="4"/>
      <c r="F15" s="4"/>
      <c r="G15" s="4"/>
      <c r="H15" s="4"/>
    </row>
    <row r="16" spans="1:8">
      <c r="A16" s="4"/>
      <c r="B16" s="4"/>
      <c r="C16" s="4"/>
      <c r="D16" s="4"/>
      <c r="E16" s="4"/>
      <c r="F16" s="4"/>
      <c r="G16" s="4"/>
      <c r="H16" s="4"/>
    </row>
    <row r="17" spans="1:16">
      <c r="A17" s="4"/>
      <c r="B17" s="14" t="s">
        <v>9</v>
      </c>
      <c r="C17" s="14"/>
      <c r="D17" s="14"/>
      <c r="E17" s="4"/>
      <c r="F17" s="4"/>
      <c r="G17" s="4"/>
      <c r="H17" s="4"/>
    </row>
    <row r="18" spans="1:16">
      <c r="A18" s="4"/>
      <c r="B18" s="14" t="s">
        <v>10</v>
      </c>
      <c r="C18" s="14"/>
      <c r="D18" s="14"/>
      <c r="E18" s="4"/>
      <c r="F18" s="4"/>
      <c r="G18" s="4"/>
      <c r="H18" s="4"/>
    </row>
    <row r="19" spans="1:16">
      <c r="A19" s="4"/>
      <c r="B19" s="14" t="s">
        <v>11</v>
      </c>
      <c r="C19" s="14"/>
      <c r="D19" s="14"/>
      <c r="E19" s="4"/>
      <c r="F19" s="4"/>
      <c r="G19" s="4"/>
      <c r="H19" s="4"/>
    </row>
    <row r="20" spans="1:16">
      <c r="A20" s="4"/>
      <c r="B20" s="14" t="s">
        <v>12</v>
      </c>
      <c r="C20" s="14"/>
      <c r="D20" s="14"/>
      <c r="E20" s="4"/>
      <c r="F20" s="4"/>
      <c r="G20" s="4"/>
      <c r="H20" s="4"/>
    </row>
    <row r="21" spans="1:16">
      <c r="A21" s="4"/>
      <c r="B21" s="14" t="s">
        <v>13</v>
      </c>
      <c r="C21" s="14"/>
      <c r="D21" s="14"/>
      <c r="E21" s="4"/>
      <c r="F21" s="4"/>
      <c r="G21" s="4"/>
      <c r="H21" s="4"/>
    </row>
    <row r="22" spans="1:16">
      <c r="A22" s="4"/>
      <c r="B22" s="4"/>
      <c r="C22" s="4"/>
      <c r="D22" s="4"/>
      <c r="E22" s="4"/>
      <c r="F22" s="4"/>
      <c r="G22" s="4"/>
      <c r="H22" s="4"/>
    </row>
    <row r="23" spans="1:16">
      <c r="A23" s="4"/>
      <c r="B23" s="4"/>
      <c r="C23" s="4"/>
      <c r="D23" s="4"/>
      <c r="E23" s="4"/>
      <c r="F23" s="4"/>
      <c r="G23" s="4"/>
      <c r="H23" s="4"/>
    </row>
    <row r="24" spans="1:16">
      <c r="A24" s="4"/>
      <c r="B24" s="4"/>
      <c r="C24" s="4"/>
      <c r="D24" s="4"/>
      <c r="E24" s="4"/>
      <c r="F24" s="4"/>
      <c r="G24" s="4"/>
      <c r="H24" s="4"/>
    </row>
    <row r="25" spans="1:16">
      <c r="A25" s="4"/>
      <c r="B25" s="4"/>
      <c r="C25" s="4"/>
      <c r="D25" s="4"/>
      <c r="E25" s="4"/>
      <c r="F25" s="4"/>
      <c r="G25" s="4"/>
      <c r="H25" s="4"/>
    </row>
    <row r="26" spans="1:16">
      <c r="A26" s="4"/>
      <c r="B26" s="4"/>
      <c r="C26" s="4"/>
      <c r="D26" s="4"/>
      <c r="E26" s="4"/>
      <c r="F26" s="4"/>
      <c r="G26" s="4"/>
      <c r="H26" s="4"/>
    </row>
    <row r="27" spans="1:16">
      <c r="A27" s="4"/>
      <c r="B27" s="4"/>
      <c r="C27" s="4"/>
      <c r="D27" s="4"/>
      <c r="E27" s="4"/>
      <c r="F27" s="4"/>
      <c r="G27" s="4"/>
      <c r="H27" s="4"/>
    </row>
    <row r="29" spans="1:16">
      <c r="P29" s="112"/>
    </row>
  </sheetData>
  <mergeCells count="12">
    <mergeCell ref="C14:D14"/>
    <mergeCell ref="C6:D6"/>
    <mergeCell ref="C7:D7"/>
    <mergeCell ref="C9:D9"/>
    <mergeCell ref="F4:G4"/>
    <mergeCell ref="B4:D4"/>
    <mergeCell ref="C5:D5"/>
    <mergeCell ref="C11:D11"/>
    <mergeCell ref="C13:D13"/>
    <mergeCell ref="C10:D10"/>
    <mergeCell ref="C8:D8"/>
    <mergeCell ref="C12:D12"/>
  </mergeCells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headerFooter>
    <oddFooter>&amp;L&amp;A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25E4E-F06B-4457-B1E2-5F1F5320070F}">
  <sheetPr codeName="Sheet3">
    <tabColor theme="7" tint="0.39997558519241921"/>
  </sheetPr>
  <dimension ref="A1:Y147"/>
  <sheetViews>
    <sheetView zoomScale="55" zoomScaleNormal="55" zoomScaleSheetLayoutView="40" workbookViewId="0">
      <pane ySplit="12" topLeftCell="A13" activePane="bottomLeft" state="frozen"/>
      <selection activeCell="C1" sqref="C1"/>
      <selection pane="bottomLeft" activeCell="F13" sqref="F13"/>
    </sheetView>
  </sheetViews>
  <sheetFormatPr defaultRowHeight="16.5"/>
  <cols>
    <col min="2" max="2" width="14.625" bestFit="1" customWidth="1"/>
    <col min="3" max="3" width="42.875" bestFit="1" customWidth="1"/>
    <col min="4" max="4" width="34.375" customWidth="1"/>
    <col min="5" max="5" width="14.25" bestFit="1" customWidth="1"/>
    <col min="6" max="6" width="49.5" customWidth="1"/>
    <col min="7" max="7" width="34.875" customWidth="1"/>
    <col min="9" max="9" width="11.75" style="67" bestFit="1" customWidth="1"/>
    <col min="10" max="10" width="26.125" customWidth="1"/>
    <col min="11" max="11" width="50.125" bestFit="1" customWidth="1"/>
    <col min="12" max="12" width="12.875" style="67" customWidth="1"/>
    <col min="13" max="13" width="12.875" style="358" customWidth="1"/>
    <col min="14" max="14" width="12.875" style="67" customWidth="1"/>
    <col min="15" max="15" width="15.75" bestFit="1" customWidth="1"/>
    <col min="16" max="16" width="49.25" bestFit="1" customWidth="1"/>
    <col min="17" max="17" width="12.875" bestFit="1" customWidth="1"/>
    <col min="18" max="18" width="12" customWidth="1"/>
    <col min="19" max="19" width="10.625" bestFit="1" customWidth="1"/>
    <col min="20" max="21" width="12.125" customWidth="1"/>
    <col min="22" max="22" width="14" customWidth="1"/>
    <col min="23" max="23" width="18.75" bestFit="1" customWidth="1"/>
    <col min="24" max="24" width="18.125" bestFit="1" customWidth="1"/>
    <col min="25" max="25" width="20.75" bestFit="1" customWidth="1"/>
    <col min="28" max="28" width="8.875" customWidth="1"/>
    <col min="30" max="30" width="34.125" bestFit="1" customWidth="1"/>
    <col min="31" max="31" width="31.875" bestFit="1" customWidth="1"/>
    <col min="32" max="32" width="11.125" customWidth="1"/>
    <col min="37" max="37" width="33.5" bestFit="1" customWidth="1"/>
    <col min="38" max="38" width="15.375" customWidth="1"/>
  </cols>
  <sheetData>
    <row r="1" spans="2:25" ht="17.25" thickBot="1"/>
    <row r="2" spans="2:25" ht="21" customHeight="1">
      <c r="B2" s="706" t="s">
        <v>282</v>
      </c>
      <c r="C2" s="707"/>
      <c r="D2" s="708"/>
      <c r="F2" s="698" t="s">
        <v>80</v>
      </c>
      <c r="G2" s="699"/>
      <c r="H2" s="67"/>
      <c r="I2"/>
      <c r="L2"/>
      <c r="N2"/>
    </row>
    <row r="3" spans="2:25" ht="19.350000000000001" customHeight="1" thickBot="1">
      <c r="B3" s="709"/>
      <c r="C3" s="710"/>
      <c r="D3" s="711"/>
      <c r="F3" s="700"/>
      <c r="G3" s="701"/>
      <c r="H3" s="67"/>
      <c r="I3"/>
      <c r="L3"/>
      <c r="N3"/>
    </row>
    <row r="4" spans="2:25" ht="19.7" customHeight="1" thickBot="1">
      <c r="B4" s="709"/>
      <c r="C4" s="710"/>
      <c r="D4" s="711"/>
      <c r="F4" s="71"/>
      <c r="G4" s="53"/>
      <c r="H4" s="54"/>
      <c r="I4" s="68"/>
      <c r="J4" s="54"/>
      <c r="K4" s="54"/>
      <c r="L4" s="54"/>
      <c r="M4" s="377"/>
    </row>
    <row r="5" spans="2:25" ht="21" customHeight="1">
      <c r="B5" s="709"/>
      <c r="C5" s="710"/>
      <c r="D5" s="711"/>
      <c r="F5" s="702" t="s">
        <v>81</v>
      </c>
      <c r="G5" s="703"/>
      <c r="H5" s="67"/>
      <c r="I5"/>
      <c r="L5"/>
      <c r="N5"/>
    </row>
    <row r="6" spans="2:25" ht="21" customHeight="1" thickBot="1">
      <c r="B6" s="712"/>
      <c r="C6" s="713"/>
      <c r="D6" s="714"/>
      <c r="F6" s="704"/>
      <c r="G6" s="705"/>
      <c r="H6" s="67"/>
      <c r="I6"/>
      <c r="L6"/>
      <c r="N6"/>
    </row>
    <row r="7" spans="2:25" ht="21" customHeight="1" thickBot="1">
      <c r="B7" s="268"/>
      <c r="C7" s="268"/>
      <c r="D7" s="268"/>
      <c r="E7" s="67"/>
      <c r="H7" s="67"/>
      <c r="I7"/>
      <c r="L7"/>
      <c r="N7"/>
      <c r="O7" s="54"/>
    </row>
    <row r="8" spans="2:25" ht="19.7" customHeight="1">
      <c r="B8" s="723" t="s">
        <v>78</v>
      </c>
      <c r="C8" s="733" t="s">
        <v>79</v>
      </c>
      <c r="D8" s="734"/>
      <c r="F8" s="737" t="str">
        <f>단가표!D4</f>
        <v>PNG</v>
      </c>
      <c r="G8" s="734"/>
      <c r="L8"/>
      <c r="N8"/>
    </row>
    <row r="9" spans="2:25" ht="18" customHeight="1" thickBot="1">
      <c r="B9" s="724"/>
      <c r="C9" s="735"/>
      <c r="D9" s="736"/>
      <c r="F9" s="735"/>
      <c r="G9" s="736"/>
      <c r="I9" s="72"/>
      <c r="J9" s="55"/>
    </row>
    <row r="10" spans="2:25" ht="17.25" thickBot="1"/>
    <row r="11" spans="2:25" ht="17.25">
      <c r="B11" s="725" t="s">
        <v>37</v>
      </c>
      <c r="C11" s="726"/>
      <c r="D11" s="726"/>
      <c r="E11" s="726"/>
      <c r="F11" s="726"/>
      <c r="G11" s="726"/>
      <c r="H11" s="726"/>
      <c r="I11" s="726"/>
      <c r="J11" s="726"/>
      <c r="K11" s="726"/>
      <c r="L11" s="726"/>
      <c r="M11" s="726"/>
      <c r="N11" s="726"/>
      <c r="O11" s="726"/>
      <c r="P11" s="726"/>
      <c r="Q11" s="726"/>
      <c r="R11" s="726"/>
      <c r="S11" s="726"/>
      <c r="T11" s="726"/>
      <c r="U11" s="727"/>
      <c r="V11" s="727"/>
      <c r="W11" s="727"/>
      <c r="X11" s="727"/>
      <c r="Y11" s="728"/>
    </row>
    <row r="12" spans="2:25" ht="17.25" thickBot="1">
      <c r="B12" s="262"/>
      <c r="C12" s="263" t="s">
        <v>74</v>
      </c>
      <c r="D12" s="263" t="s">
        <v>54</v>
      </c>
      <c r="E12" s="263" t="s">
        <v>38</v>
      </c>
      <c r="F12" s="263" t="s">
        <v>454</v>
      </c>
      <c r="G12" s="263" t="s">
        <v>14</v>
      </c>
      <c r="H12" s="263" t="s">
        <v>15</v>
      </c>
      <c r="I12" s="264" t="s">
        <v>16</v>
      </c>
      <c r="J12" s="263" t="s">
        <v>82</v>
      </c>
      <c r="K12" s="263" t="s">
        <v>28</v>
      </c>
      <c r="L12" s="264" t="s">
        <v>85</v>
      </c>
      <c r="M12" s="378" t="s">
        <v>414</v>
      </c>
      <c r="N12" s="264" t="s">
        <v>109</v>
      </c>
      <c r="O12" s="263" t="s">
        <v>86</v>
      </c>
      <c r="P12" s="263" t="s">
        <v>87</v>
      </c>
      <c r="Q12" s="263" t="s">
        <v>104</v>
      </c>
      <c r="R12" s="263" t="s">
        <v>110</v>
      </c>
      <c r="S12" s="263" t="s">
        <v>90</v>
      </c>
      <c r="T12" s="265" t="s">
        <v>53</v>
      </c>
      <c r="U12" s="266" t="s">
        <v>111</v>
      </c>
      <c r="V12" s="266" t="s">
        <v>70</v>
      </c>
      <c r="W12" s="266" t="s">
        <v>115</v>
      </c>
      <c r="X12" s="266" t="s">
        <v>114</v>
      </c>
      <c r="Y12" s="267" t="s">
        <v>19</v>
      </c>
    </row>
    <row r="13" spans="2:25" ht="26.45" customHeight="1">
      <c r="B13" s="35">
        <v>1</v>
      </c>
      <c r="C13" s="43" t="s">
        <v>174</v>
      </c>
      <c r="D13" s="43" t="s">
        <v>438</v>
      </c>
      <c r="E13" s="44" t="s">
        <v>278</v>
      </c>
      <c r="F13" s="396" t="s">
        <v>412</v>
      </c>
      <c r="G13" s="39" t="s">
        <v>453</v>
      </c>
      <c r="H13" s="39" t="s">
        <v>93</v>
      </c>
      <c r="I13" s="73">
        <v>3</v>
      </c>
      <c r="J13" s="39"/>
      <c r="K13" s="56" t="str">
        <f>IF(V13=0,
    "판매가 없음",
    _xlfn.XLOOKUP(
        C13 &amp; "|" &amp; D13 &amp; "|" &amp; E13,
        단가표!$Q$2:$Q$387,
        단가표!$O$2:$O$387,
        "0"
    )
)</f>
        <v>개구부 간격 33.85mm이하</v>
      </c>
      <c r="L13" s="69">
        <f>_xlfn.XLOOKUP(
    C13 &amp; "|" &amp; D13 &amp; "|" &amp; E13,
    단가표!$Q$2:$Q$387,
    단가표!$I$2:$I$387,
   0
)</f>
        <v>133.80000000000001</v>
      </c>
      <c r="M13" s="379">
        <f>_xlfn.XLOOKUP(
    C13 &amp; "|" &amp; D13 &amp; "|" &amp; E13,
    단가표!$Q$2:$Q$387,
    단가표!$J$2:$J$387,
   0
)</f>
        <v>1.8583333333333334E-2</v>
      </c>
      <c r="N13" s="69">
        <f>_xlfn.XLOOKUP(
    C13 &amp; "|" &amp; D13 &amp; "|" &amp; E13,
    단가표!$Q$2:$Q$387,
    단가표!$K$2:$K$387,
   0
)</f>
        <v>508</v>
      </c>
      <c r="O13" s="56">
        <f>L13*I13</f>
        <v>401.40000000000003</v>
      </c>
      <c r="P13" s="56" t="str">
        <f>_xlfn.XLOOKUP(
    C13 &amp; "|" &amp; D13 &amp; "|" &amp; E13,
    단가표!$Q$2:$Q$387,
    단가표!$H$2:$H$387,
    "차열재 없음"
)</f>
        <v>25T*200*7200</v>
      </c>
      <c r="Q13" s="56">
        <f>_xlfn.XLOOKUP(
    C13 &amp; "|" &amp; D13 &amp; "|" &amp; E13,
    단가표!$Q$2:$Q$387,
    단가표!$L$2:$L$387,
    "0"
)</f>
        <v>0</v>
      </c>
      <c r="R13" s="56">
        <f>_xlfn.XLOOKUP(
    C13 &amp; "|" &amp; D13 &amp; "|" &amp; E13,
    단가표!$Q$2:$Q$387,
    단가표!$M$2:$M$387,
    "0"
)</f>
        <v>0</v>
      </c>
      <c r="S13" s="56">
        <f>Q13*I13</f>
        <v>0</v>
      </c>
      <c r="T13" s="106">
        <f>_xlfn.XLOOKUP(
    C13 &amp; "|" &amp; D13 &amp; "|" &amp; E13,
    단가표!$Q$2:$Q$387,
    단가표!$E$2:$E$387,
    0
)</f>
        <v>3990</v>
      </c>
      <c r="U13" s="105">
        <f>V13+R13+N13</f>
        <v>5048</v>
      </c>
      <c r="V13" s="83">
        <f>_xlfn.XLOOKUP(
    C13 &amp; "|" &amp; D13 &amp; "|" &amp; E13,
    단가표!$Q$2:$Q$387,
    단가표!$G$2:$G$387,
    0
)</f>
        <v>4540</v>
      </c>
      <c r="W13" s="83">
        <f>T13*I13</f>
        <v>11970</v>
      </c>
      <c r="X13" s="83">
        <f>(V13+N13+R13)*I13</f>
        <v>15144</v>
      </c>
      <c r="Y13" s="37">
        <f>V13*I13</f>
        <v>13620</v>
      </c>
    </row>
    <row r="14" spans="2:25" ht="26.45" customHeight="1">
      <c r="B14" s="35">
        <f>B13+1</f>
        <v>2</v>
      </c>
      <c r="C14" s="43"/>
      <c r="D14" s="43"/>
      <c r="E14" s="44"/>
      <c r="F14" s="396"/>
      <c r="G14" s="39"/>
      <c r="H14" s="39"/>
      <c r="I14" s="74"/>
      <c r="J14" s="39"/>
      <c r="K14" s="56" t="str">
        <f>IF(V14=0,
    "판매가 없음",
    _xlfn.XLOOKUP(
        C14 &amp; "|" &amp; D14 &amp; "|" &amp; E14,
        단가표!$Q$2:$Q$387,
        단가표!$O$2:$O$387,
        "0"
    )
)</f>
        <v>판매가 없음</v>
      </c>
      <c r="L14" s="69">
        <f>_xlfn.XLOOKUP(
    C14 &amp; "|" &amp; D14 &amp; "|" &amp; E14,
    단가표!$Q$2:$Q$387,
    단가표!$I$2:$I$387,
   0
)</f>
        <v>0</v>
      </c>
      <c r="M14" s="379">
        <f>_xlfn.XLOOKUP(
    C14 &amp; "|" &amp; D14 &amp; "|" &amp; E14,
    단가표!$Q$2:$Q$387,
    단가표!$J$2:$J$387,
   0
)</f>
        <v>0</v>
      </c>
      <c r="N14" s="69">
        <f>_xlfn.XLOOKUP(
    C14 &amp; "|" &amp; D14 &amp; "|" &amp; E14,
    단가표!$Q$2:$Q$387,
    단가표!$K$2:$K$387,
   0
)</f>
        <v>0</v>
      </c>
      <c r="O14" s="56">
        <f t="shared" ref="O14:O17" si="0">L14*I14</f>
        <v>0</v>
      </c>
      <c r="P14" s="56" t="str">
        <f>_xlfn.XLOOKUP(
    C14 &amp; "|" &amp; D14 &amp; "|" &amp; E14,
    단가표!$Q$2:$Q$387,
    단가표!$H$2:$H$387,
    "차열재 없음"
)</f>
        <v>차열재 없음</v>
      </c>
      <c r="Q14" s="56" t="str">
        <f>_xlfn.XLOOKUP(
    C14 &amp; "|" &amp; D14 &amp; "|" &amp; E14,
    단가표!$Q$2:$Q$387,
    단가표!$L$2:$L$387,
    "0"
)</f>
        <v>0</v>
      </c>
      <c r="R14" s="56" t="str">
        <f>_xlfn.XLOOKUP(
    C14 &amp; "|" &amp; D14 &amp; "|" &amp; E14,
    단가표!$Q$2:$Q$387,
    단가표!$M$2:$M$387,
    "0"
)</f>
        <v>0</v>
      </c>
      <c r="S14" s="56">
        <f t="shared" ref="S14:S17" si="1">Q14*I14</f>
        <v>0</v>
      </c>
      <c r="T14" s="106">
        <f>_xlfn.XLOOKUP(
    C14 &amp; "|" &amp; D14 &amp; "|" &amp; E14,
    단가표!$Q$2:$Q$387,
    단가표!$E$2:$E$387,
    0
)</f>
        <v>0</v>
      </c>
      <c r="U14" s="105">
        <f t="shared" ref="U14:U17" si="2">V14+R14+N14</f>
        <v>0</v>
      </c>
      <c r="V14" s="83">
        <f>_xlfn.XLOOKUP(
    C14 &amp; "|" &amp; D14 &amp; "|" &amp; E14,
    단가표!$Q$2:$Q$387,
    단가표!$G$2:$G$387,
    0
)</f>
        <v>0</v>
      </c>
      <c r="W14" s="83">
        <f t="shared" ref="W14:W17" si="3">T14*I14</f>
        <v>0</v>
      </c>
      <c r="X14" s="83">
        <f t="shared" ref="X14:X17" si="4">(V14+N14+R14)*I14</f>
        <v>0</v>
      </c>
      <c r="Y14" s="37">
        <f>V14*I14</f>
        <v>0</v>
      </c>
    </row>
    <row r="15" spans="2:25" ht="26.45" customHeight="1">
      <c r="B15" s="35">
        <f t="shared" ref="B15:B107" si="5">B14+1</f>
        <v>3</v>
      </c>
      <c r="C15" s="43"/>
      <c r="D15" s="43"/>
      <c r="E15" s="44"/>
      <c r="F15" s="396"/>
      <c r="G15" s="39"/>
      <c r="H15" s="39"/>
      <c r="I15" s="74"/>
      <c r="J15" s="39"/>
      <c r="K15" s="56" t="str">
        <f>IF(V15=0,
    "판매가 없음",
    _xlfn.XLOOKUP(
        C15 &amp; "|" &amp; D15 &amp; "|" &amp; E15,
        단가표!$Q$2:$Q$387,
        단가표!$O$2:$O$387,
        "0"
    )
)</f>
        <v>판매가 없음</v>
      </c>
      <c r="L15" s="69">
        <f>_xlfn.XLOOKUP(
    C15 &amp; "|" &amp; D15 &amp; "|" &amp; E15,
    단가표!$Q$2:$Q$387,
    단가표!$I$2:$I$387,
   0
)</f>
        <v>0</v>
      </c>
      <c r="M15" s="379">
        <f>_xlfn.XLOOKUP(
    C15 &amp; "|" &amp; D15 &amp; "|" &amp; E15,
    단가표!$Q$2:$Q$387,
    단가표!$J$2:$J$387,
   0
)</f>
        <v>0</v>
      </c>
      <c r="N15" s="69">
        <f>_xlfn.XLOOKUP(
    C15 &amp; "|" &amp; D15 &amp; "|" &amp; E15,
    단가표!$Q$2:$Q$387,
    단가표!$K$2:$K$387,
   0
)</f>
        <v>0</v>
      </c>
      <c r="O15" s="56">
        <f t="shared" si="0"/>
        <v>0</v>
      </c>
      <c r="P15" s="56" t="str">
        <f>_xlfn.XLOOKUP(
    C15 &amp; "|" &amp; D15 &amp; "|" &amp; E15,
    단가표!$Q$2:$Q$387,
    단가표!$H$2:$H$387,
    "차열재 없음"
)</f>
        <v>차열재 없음</v>
      </c>
      <c r="Q15" s="56" t="str">
        <f>_xlfn.XLOOKUP(
    C15 &amp; "|" &amp; D15 &amp; "|" &amp; E15,
    단가표!$Q$2:$Q$387,
    단가표!$L$2:$L$387,
    "0"
)</f>
        <v>0</v>
      </c>
      <c r="R15" s="56" t="str">
        <f>_xlfn.XLOOKUP(
    C15 &amp; "|" &amp; D15 &amp; "|" &amp; E15,
    단가표!$Q$2:$Q$387,
    단가표!$M$2:$M$387,
    "0"
)</f>
        <v>0</v>
      </c>
      <c r="S15" s="56">
        <f t="shared" si="1"/>
        <v>0</v>
      </c>
      <c r="T15" s="106">
        <f>_xlfn.XLOOKUP(
    C15 &amp; "|" &amp; D15 &amp; "|" &amp; E15,
    단가표!$Q$2:$Q$387,
    단가표!$E$2:$E$387,
    0
)</f>
        <v>0</v>
      </c>
      <c r="U15" s="105">
        <f t="shared" si="2"/>
        <v>0</v>
      </c>
      <c r="V15" s="83">
        <f>_xlfn.XLOOKUP(
    C15 &amp; "|" &amp; D15 &amp; "|" &amp; E15,
    단가표!$Q$2:$Q$387,
    단가표!$G$2:$G$387,
    0
)</f>
        <v>0</v>
      </c>
      <c r="W15" s="83">
        <f t="shared" si="3"/>
        <v>0</v>
      </c>
      <c r="X15" s="83">
        <f t="shared" si="4"/>
        <v>0</v>
      </c>
      <c r="Y15" s="37">
        <f>V15*I15</f>
        <v>0</v>
      </c>
    </row>
    <row r="16" spans="2:25" ht="26.45" customHeight="1">
      <c r="B16" s="35">
        <f t="shared" si="5"/>
        <v>4</v>
      </c>
      <c r="C16" s="43"/>
      <c r="D16" s="43"/>
      <c r="E16" s="44"/>
      <c r="F16" s="396"/>
      <c r="G16" s="39"/>
      <c r="H16" s="39"/>
      <c r="I16" s="74"/>
      <c r="J16" s="39"/>
      <c r="K16" s="56" t="str">
        <f>IF(V16=0,
    "판매가 없음",
    _xlfn.XLOOKUP(
        C16 &amp; "|" &amp; D16 &amp; "|" &amp; E16,
        단가표!$Q$2:$Q$387,
        단가표!$O$2:$O$387,
        "0"
    )
)</f>
        <v>판매가 없음</v>
      </c>
      <c r="L16" s="69">
        <f>_xlfn.XLOOKUP(
    C16 &amp; "|" &amp; D16 &amp; "|" &amp; E16,
    단가표!$Q$2:$Q$387,
    단가표!$I$2:$I$387,
   0
)</f>
        <v>0</v>
      </c>
      <c r="M16" s="379">
        <f>_xlfn.XLOOKUP(
    C16 &amp; "|" &amp; D16 &amp; "|" &amp; E16,
    단가표!$Q$2:$Q$387,
    단가표!$J$2:$J$387,
   0
)</f>
        <v>0</v>
      </c>
      <c r="N16" s="69">
        <f>_xlfn.XLOOKUP(
    C16 &amp; "|" &amp; D16 &amp; "|" &amp; E16,
    단가표!$Q$2:$Q$387,
    단가표!$K$2:$K$387,
   0
)</f>
        <v>0</v>
      </c>
      <c r="O16" s="56">
        <f t="shared" si="0"/>
        <v>0</v>
      </c>
      <c r="P16" s="56" t="str">
        <f>_xlfn.XLOOKUP(
    C16 &amp; "|" &amp; D16 &amp; "|" &amp; E16,
    단가표!$Q$2:$Q$387,
    단가표!$H$2:$H$387,
    "차열재 없음"
)</f>
        <v>차열재 없음</v>
      </c>
      <c r="Q16" s="56" t="str">
        <f>_xlfn.XLOOKUP(
    C16 &amp; "|" &amp; D16 &amp; "|" &amp; E16,
    단가표!$Q$2:$Q$387,
    단가표!$L$2:$L$387,
    "0"
)</f>
        <v>0</v>
      </c>
      <c r="R16" s="56" t="str">
        <f>_xlfn.XLOOKUP(
    C16 &amp; "|" &amp; D16 &amp; "|" &amp; E16,
    단가표!$Q$2:$Q$387,
    단가표!$M$2:$M$387,
    "0"
)</f>
        <v>0</v>
      </c>
      <c r="S16" s="56">
        <f t="shared" si="1"/>
        <v>0</v>
      </c>
      <c r="T16" s="106">
        <f>_xlfn.XLOOKUP(
    C16 &amp; "|" &amp; D16 &amp; "|" &amp; E16,
    단가표!$Q$2:$Q$387,
    단가표!$E$2:$E$387,
    0
)</f>
        <v>0</v>
      </c>
      <c r="U16" s="105">
        <f t="shared" si="2"/>
        <v>0</v>
      </c>
      <c r="V16" s="83">
        <f>_xlfn.XLOOKUP(
    C16 &amp; "|" &amp; D16 &amp; "|" &amp; E16,
    단가표!$Q$2:$Q$387,
    단가표!$G$2:$G$387,
    0
)</f>
        <v>0</v>
      </c>
      <c r="W16" s="83">
        <f t="shared" si="3"/>
        <v>0</v>
      </c>
      <c r="X16" s="83">
        <f t="shared" si="4"/>
        <v>0</v>
      </c>
      <c r="Y16" s="37">
        <f>V16*I16</f>
        <v>0</v>
      </c>
    </row>
    <row r="17" spans="2:25" ht="26.45" customHeight="1">
      <c r="B17" s="35">
        <f t="shared" si="5"/>
        <v>5</v>
      </c>
      <c r="C17" s="43"/>
      <c r="D17" s="43"/>
      <c r="E17" s="44"/>
      <c r="F17" s="396"/>
      <c r="G17" s="39"/>
      <c r="H17" s="39"/>
      <c r="I17" s="74"/>
      <c r="J17" s="39"/>
      <c r="K17" s="56" t="str">
        <f>IF(V17=0,
    "판매가 없음",
    _xlfn.XLOOKUP(
        C17 &amp; "|" &amp; D17 &amp; "|" &amp; E17,
        단가표!$Q$2:$Q$387,
        단가표!$O$2:$O$387,
        "0"
    )
)</f>
        <v>판매가 없음</v>
      </c>
      <c r="L17" s="69">
        <f>_xlfn.XLOOKUP(
    C17 &amp; "|" &amp; D17 &amp; "|" &amp; E17,
    단가표!$Q$2:$Q$387,
    단가표!$I$2:$I$387,
   0
)</f>
        <v>0</v>
      </c>
      <c r="M17" s="379">
        <f>_xlfn.XLOOKUP(
    C17 &amp; "|" &amp; D17 &amp; "|" &amp; E17,
    단가표!$Q$2:$Q$387,
    단가표!$J$2:$J$387,
   0
)</f>
        <v>0</v>
      </c>
      <c r="N17" s="69">
        <f>_xlfn.XLOOKUP(
    C17 &amp; "|" &amp; D17 &amp; "|" &amp; E17,
    단가표!$Q$2:$Q$387,
    단가표!$K$2:$K$387,
   0
)</f>
        <v>0</v>
      </c>
      <c r="O17" s="56">
        <f t="shared" si="0"/>
        <v>0</v>
      </c>
      <c r="P17" s="56" t="str">
        <f>_xlfn.XLOOKUP(
    C17 &amp; "|" &amp; D17 &amp; "|" &amp; E17,
    단가표!$Q$2:$Q$387,
    단가표!$H$2:$H$387,
    "차열재 없음"
)</f>
        <v>차열재 없음</v>
      </c>
      <c r="Q17" s="56" t="str">
        <f>_xlfn.XLOOKUP(
    C17 &amp; "|" &amp; D17 &amp; "|" &amp; E17,
    단가표!$Q$2:$Q$387,
    단가표!$L$2:$L$387,
    "0"
)</f>
        <v>0</v>
      </c>
      <c r="R17" s="56" t="str">
        <f>_xlfn.XLOOKUP(
    C17 &amp; "|" &amp; D17 &amp; "|" &amp; E17,
    단가표!$Q$2:$Q$387,
    단가표!$M$2:$M$387,
    "0"
)</f>
        <v>0</v>
      </c>
      <c r="S17" s="56">
        <f t="shared" si="1"/>
        <v>0</v>
      </c>
      <c r="T17" s="106">
        <f>_xlfn.XLOOKUP(
    C17 &amp; "|" &amp; D17 &amp; "|" &amp; E17,
    단가표!$Q$2:$Q$387,
    단가표!$E$2:$E$387,
    0
)</f>
        <v>0</v>
      </c>
      <c r="U17" s="105">
        <f t="shared" si="2"/>
        <v>0</v>
      </c>
      <c r="V17" s="83">
        <f>_xlfn.XLOOKUP(
    C17 &amp; "|" &amp; D17 &amp; "|" &amp; E17,
    단가표!$Q$2:$Q$387,
    단가표!$G$2:$G$387,
    0
)</f>
        <v>0</v>
      </c>
      <c r="W17" s="83">
        <f t="shared" si="3"/>
        <v>0</v>
      </c>
      <c r="X17" s="83">
        <f t="shared" si="4"/>
        <v>0</v>
      </c>
      <c r="Y17" s="37">
        <f>V17*I17</f>
        <v>0</v>
      </c>
    </row>
    <row r="18" spans="2:25" ht="26.45" customHeight="1">
      <c r="B18" s="35">
        <f t="shared" si="5"/>
        <v>6</v>
      </c>
      <c r="C18" s="43"/>
      <c r="D18" s="43"/>
      <c r="E18" s="44"/>
      <c r="F18" s="396"/>
      <c r="G18" s="39"/>
      <c r="H18" s="39"/>
      <c r="I18" s="74"/>
      <c r="J18" s="39"/>
      <c r="K18" s="56" t="str">
        <f>IF(V18=0,
    "판매가 없음",
    _xlfn.XLOOKUP(
        C18 &amp; "|" &amp; D18 &amp; "|" &amp; E18,
        단가표!$Q$2:$Q$387,
        단가표!$O$2:$O$387,
        "0"
    )
)</f>
        <v>판매가 없음</v>
      </c>
      <c r="L18" s="69">
        <f>_xlfn.XLOOKUP(
    C18 &amp; "|" &amp; D18 &amp; "|" &amp; E18,
    단가표!$Q$2:$Q$387,
    단가표!$I$2:$I$387,
   0
)</f>
        <v>0</v>
      </c>
      <c r="M18" s="379">
        <f>_xlfn.XLOOKUP(
    C18 &amp; "|" &amp; D18 &amp; "|" &amp; E18,
    단가표!$Q$2:$Q$387,
    단가표!$J$2:$J$387,
   0
)</f>
        <v>0</v>
      </c>
      <c r="N18" s="69">
        <f>_xlfn.XLOOKUP(
    C18 &amp; "|" &amp; D18 &amp; "|" &amp; E18,
    단가표!$Q$2:$Q$387,
    단가표!$K$2:$K$387,
   0
)</f>
        <v>0</v>
      </c>
      <c r="O18" s="56">
        <f t="shared" ref="O18:O79" si="6">L18*I18</f>
        <v>0</v>
      </c>
      <c r="P18" s="56" t="str">
        <f>_xlfn.XLOOKUP(
    C18 &amp; "|" &amp; D18 &amp; "|" &amp; E18,
    단가표!$Q$2:$Q$387,
    단가표!$H$2:$H$387,
    "차열재 없음"
)</f>
        <v>차열재 없음</v>
      </c>
      <c r="Q18" s="56" t="str">
        <f>_xlfn.XLOOKUP(
    C18 &amp; "|" &amp; D18 &amp; "|" &amp; E18,
    단가표!$Q$2:$Q$387,
    단가표!$L$2:$L$387,
    "0"
)</f>
        <v>0</v>
      </c>
      <c r="R18" s="56" t="str">
        <f>_xlfn.XLOOKUP(
    C18 &amp; "|" &amp; D18 &amp; "|" &amp; E18,
    단가표!$Q$2:$Q$387,
    단가표!$M$2:$M$387,
    "0"
)</f>
        <v>0</v>
      </c>
      <c r="S18" s="56">
        <f t="shared" ref="S18:S79" si="7">Q18*I18</f>
        <v>0</v>
      </c>
      <c r="T18" s="106">
        <f>_xlfn.XLOOKUP(
    C18 &amp; "|" &amp; D18 &amp; "|" &amp; E18,
    단가표!$Q$2:$Q$387,
    단가표!$E$2:$E$387,
    0
)</f>
        <v>0</v>
      </c>
      <c r="U18" s="105">
        <f t="shared" ref="U18:U79" si="8">V18+R18+N18</f>
        <v>0</v>
      </c>
      <c r="V18" s="83">
        <f>_xlfn.XLOOKUP(
    C18 &amp; "|" &amp; D18 &amp; "|" &amp; E18,
    단가표!$Q$2:$Q$387,
    단가표!$G$2:$G$387,
    0
)</f>
        <v>0</v>
      </c>
      <c r="W18" s="83">
        <f t="shared" ref="W18:W79" si="9">T18*I18</f>
        <v>0</v>
      </c>
      <c r="X18" s="83">
        <f t="shared" ref="X18:X79" si="10">(V18+N18+R18)*I18</f>
        <v>0</v>
      </c>
      <c r="Y18" s="37">
        <f t="shared" ref="Y18:Y79" si="11">V18*I18</f>
        <v>0</v>
      </c>
    </row>
    <row r="19" spans="2:25" ht="26.45" customHeight="1">
      <c r="B19" s="35">
        <f t="shared" si="5"/>
        <v>7</v>
      </c>
      <c r="C19" s="43"/>
      <c r="D19" s="43"/>
      <c r="E19" s="44"/>
      <c r="F19" s="396"/>
      <c r="G19" s="39"/>
      <c r="H19" s="39"/>
      <c r="I19" s="74"/>
      <c r="J19" s="39"/>
      <c r="K19" s="56" t="str">
        <f>IF(V19=0,
    "판매가 없음",
    _xlfn.XLOOKUP(
        C19 &amp; "|" &amp; D19 &amp; "|" &amp; E19,
        단가표!$Q$2:$Q$387,
        단가표!$O$2:$O$387,
        "0"
    )
)</f>
        <v>판매가 없음</v>
      </c>
      <c r="L19" s="69">
        <f>_xlfn.XLOOKUP(
    C19 &amp; "|" &amp; D19 &amp; "|" &amp; E19,
    단가표!$Q$2:$Q$387,
    단가표!$I$2:$I$387,
   0
)</f>
        <v>0</v>
      </c>
      <c r="M19" s="379">
        <f>_xlfn.XLOOKUP(
    C19 &amp; "|" &amp; D19 &amp; "|" &amp; E19,
    단가표!$Q$2:$Q$387,
    단가표!$J$2:$J$387,
   0
)</f>
        <v>0</v>
      </c>
      <c r="N19" s="69">
        <f>_xlfn.XLOOKUP(
    C19 &amp; "|" &amp; D19 &amp; "|" &amp; E19,
    단가표!$Q$2:$Q$387,
    단가표!$K$2:$K$387,
   0
)</f>
        <v>0</v>
      </c>
      <c r="O19" s="56">
        <f t="shared" si="6"/>
        <v>0</v>
      </c>
      <c r="P19" s="56" t="str">
        <f>_xlfn.XLOOKUP(
    C19 &amp; "|" &amp; D19 &amp; "|" &amp; E19,
    단가표!$Q$2:$Q$387,
    단가표!$H$2:$H$387,
    "차열재 없음"
)</f>
        <v>차열재 없음</v>
      </c>
      <c r="Q19" s="56" t="str">
        <f>_xlfn.XLOOKUP(
    C19 &amp; "|" &amp; D19 &amp; "|" &amp; E19,
    단가표!$Q$2:$Q$387,
    단가표!$L$2:$L$387,
    "0"
)</f>
        <v>0</v>
      </c>
      <c r="R19" s="56" t="str">
        <f>_xlfn.XLOOKUP(
    C19 &amp; "|" &amp; D19 &amp; "|" &amp; E19,
    단가표!$Q$2:$Q$387,
    단가표!$M$2:$M$387,
    "0"
)</f>
        <v>0</v>
      </c>
      <c r="S19" s="56">
        <f t="shared" si="7"/>
        <v>0</v>
      </c>
      <c r="T19" s="106">
        <f>_xlfn.XLOOKUP(
    C19 &amp; "|" &amp; D19 &amp; "|" &amp; E19,
    단가표!$Q$2:$Q$387,
    단가표!$E$2:$E$387,
    0
)</f>
        <v>0</v>
      </c>
      <c r="U19" s="105">
        <f t="shared" si="8"/>
        <v>0</v>
      </c>
      <c r="V19" s="83">
        <f>_xlfn.XLOOKUP(
    C19 &amp; "|" &amp; D19 &amp; "|" &amp; E19,
    단가표!$Q$2:$Q$387,
    단가표!$G$2:$G$387,
    0
)</f>
        <v>0</v>
      </c>
      <c r="W19" s="83">
        <f t="shared" si="9"/>
        <v>0</v>
      </c>
      <c r="X19" s="83">
        <f t="shared" si="10"/>
        <v>0</v>
      </c>
      <c r="Y19" s="37">
        <f t="shared" si="11"/>
        <v>0</v>
      </c>
    </row>
    <row r="20" spans="2:25" ht="26.45" customHeight="1">
      <c r="B20" s="35">
        <f t="shared" si="5"/>
        <v>8</v>
      </c>
      <c r="C20" s="43"/>
      <c r="D20" s="43"/>
      <c r="E20" s="44"/>
      <c r="F20" s="396"/>
      <c r="G20" s="39"/>
      <c r="H20" s="39"/>
      <c r="I20" s="74"/>
      <c r="J20" s="38"/>
      <c r="K20" s="56" t="str">
        <f>IF(V20=0,
    "판매가 없음",
    _xlfn.XLOOKUP(
        C20 &amp; "|" &amp; D20 &amp; "|" &amp; E20,
        단가표!$Q$2:$Q$387,
        단가표!$O$2:$O$387,
        "0"
    )
)</f>
        <v>판매가 없음</v>
      </c>
      <c r="L20" s="69">
        <f>_xlfn.XLOOKUP(
    C20 &amp; "|" &amp; D20 &amp; "|" &amp; E20,
    단가표!$Q$2:$Q$387,
    단가표!$I$2:$I$387,
   0
)</f>
        <v>0</v>
      </c>
      <c r="M20" s="379">
        <f>_xlfn.XLOOKUP(
    C20 &amp; "|" &amp; D20 &amp; "|" &amp; E20,
    단가표!$Q$2:$Q$387,
    단가표!$J$2:$J$387,
   0
)</f>
        <v>0</v>
      </c>
      <c r="N20" s="69">
        <f>_xlfn.XLOOKUP(
    C20 &amp; "|" &amp; D20 &amp; "|" &amp; E20,
    단가표!$Q$2:$Q$387,
    단가표!$K$2:$K$387,
   0
)</f>
        <v>0</v>
      </c>
      <c r="O20" s="56">
        <f t="shared" si="6"/>
        <v>0</v>
      </c>
      <c r="P20" s="56" t="str">
        <f>_xlfn.XLOOKUP(
    C20 &amp; "|" &amp; D20 &amp; "|" &amp; E20,
    단가표!$Q$2:$Q$387,
    단가표!$H$2:$H$387,
    "차열재 없음"
)</f>
        <v>차열재 없음</v>
      </c>
      <c r="Q20" s="56" t="str">
        <f>_xlfn.XLOOKUP(
    C20 &amp; "|" &amp; D20 &amp; "|" &amp; E20,
    단가표!$Q$2:$Q$387,
    단가표!$L$2:$L$387,
    "0"
)</f>
        <v>0</v>
      </c>
      <c r="R20" s="56" t="str">
        <f>_xlfn.XLOOKUP(
    C20 &amp; "|" &amp; D20 &amp; "|" &amp; E20,
    단가표!$Q$2:$Q$387,
    단가표!$M$2:$M$387,
    "0"
)</f>
        <v>0</v>
      </c>
      <c r="S20" s="56">
        <f t="shared" si="7"/>
        <v>0</v>
      </c>
      <c r="T20" s="106">
        <f>_xlfn.XLOOKUP(
    C20 &amp; "|" &amp; D20 &amp; "|" &amp; E20,
    단가표!$Q$2:$Q$387,
    단가표!$E$2:$E$387,
    0
)</f>
        <v>0</v>
      </c>
      <c r="U20" s="105">
        <f t="shared" si="8"/>
        <v>0</v>
      </c>
      <c r="V20" s="83">
        <f>_xlfn.XLOOKUP(
    C20 &amp; "|" &amp; D20 &amp; "|" &amp; E20,
    단가표!$Q$2:$Q$387,
    단가표!$G$2:$G$387,
    0
)</f>
        <v>0</v>
      </c>
      <c r="W20" s="83">
        <f t="shared" si="9"/>
        <v>0</v>
      </c>
      <c r="X20" s="83">
        <f t="shared" si="10"/>
        <v>0</v>
      </c>
      <c r="Y20" s="37">
        <f t="shared" si="11"/>
        <v>0</v>
      </c>
    </row>
    <row r="21" spans="2:25" ht="26.45" customHeight="1">
      <c r="B21" s="35">
        <f t="shared" si="5"/>
        <v>9</v>
      </c>
      <c r="C21" s="43"/>
      <c r="D21" s="43"/>
      <c r="E21" s="44"/>
      <c r="F21" s="396"/>
      <c r="G21" s="39"/>
      <c r="H21" s="39"/>
      <c r="I21" s="356"/>
      <c r="J21" s="38"/>
      <c r="K21" s="56" t="str">
        <f>IF(V21=0,
    "판매가 없음",
    _xlfn.XLOOKUP(
        C21 &amp; "|" &amp; D21 &amp; "|" &amp; E21,
        단가표!$Q$2:$Q$387,
        단가표!$O$2:$O$387,
        "0"
    )
)</f>
        <v>판매가 없음</v>
      </c>
      <c r="L21" s="69">
        <f>_xlfn.XLOOKUP(
    C21 &amp; "|" &amp; D21 &amp; "|" &amp; E21,
    단가표!$Q$2:$Q$387,
    단가표!$I$2:$I$387,
   0
)</f>
        <v>0</v>
      </c>
      <c r="M21" s="379">
        <f>_xlfn.XLOOKUP(
    C21 &amp; "|" &amp; D21 &amp; "|" &amp; E21,
    단가표!$Q$2:$Q$387,
    단가표!$J$2:$J$387,
   0
)</f>
        <v>0</v>
      </c>
      <c r="N21" s="69">
        <f>_xlfn.XLOOKUP(
    C21 &amp; "|" &amp; D21 &amp; "|" &amp; E21,
    단가표!$Q$2:$Q$387,
    단가표!$K$2:$K$387,
   0
)</f>
        <v>0</v>
      </c>
      <c r="O21" s="56">
        <f t="shared" si="6"/>
        <v>0</v>
      </c>
      <c r="P21" s="56" t="str">
        <f>_xlfn.XLOOKUP(
    C21 &amp; "|" &amp; D21 &amp; "|" &amp; E21,
    단가표!$Q$2:$Q$387,
    단가표!$H$2:$H$387,
    "차열재 없음"
)</f>
        <v>차열재 없음</v>
      </c>
      <c r="Q21" s="56" t="str">
        <f>_xlfn.XLOOKUP(
    C21 &amp; "|" &amp; D21 &amp; "|" &amp; E21,
    단가표!$Q$2:$Q$387,
    단가표!$L$2:$L$387,
    "0"
)</f>
        <v>0</v>
      </c>
      <c r="R21" s="56" t="str">
        <f>_xlfn.XLOOKUP(
    C21 &amp; "|" &amp; D21 &amp; "|" &amp; E21,
    단가표!$Q$2:$Q$387,
    단가표!$M$2:$M$387,
    "0"
)</f>
        <v>0</v>
      </c>
      <c r="S21" s="56">
        <f t="shared" si="7"/>
        <v>0</v>
      </c>
      <c r="T21" s="106">
        <f>_xlfn.XLOOKUP(
    C21 &amp; "|" &amp; D21 &amp; "|" &amp; E21,
    단가표!$Q$2:$Q$387,
    단가표!$E$2:$E$387,
    0
)</f>
        <v>0</v>
      </c>
      <c r="U21" s="105">
        <f t="shared" si="8"/>
        <v>0</v>
      </c>
      <c r="V21" s="83">
        <f>_xlfn.XLOOKUP(
    C21 &amp; "|" &amp; D21 &amp; "|" &amp; E21,
    단가표!$Q$2:$Q$387,
    단가표!$G$2:$G$387,
    0
)</f>
        <v>0</v>
      </c>
      <c r="W21" s="83">
        <f t="shared" si="9"/>
        <v>0</v>
      </c>
      <c r="X21" s="83">
        <f t="shared" si="10"/>
        <v>0</v>
      </c>
      <c r="Y21" s="37">
        <f t="shared" si="11"/>
        <v>0</v>
      </c>
    </row>
    <row r="22" spans="2:25" ht="26.45" customHeight="1">
      <c r="B22" s="35">
        <f t="shared" si="5"/>
        <v>10</v>
      </c>
      <c r="C22" s="43"/>
      <c r="D22" s="43"/>
      <c r="E22" s="44"/>
      <c r="F22" s="396"/>
      <c r="G22" s="39"/>
      <c r="H22" s="39"/>
      <c r="I22" s="356"/>
      <c r="J22" s="38"/>
      <c r="K22" s="56" t="str">
        <f>IF(V22=0,
    "판매가 없음",
    _xlfn.XLOOKUP(
        C22 &amp; "|" &amp; D22 &amp; "|" &amp; E22,
        단가표!$Q$2:$Q$387,
        단가표!$O$2:$O$387,
        "0"
    )
)</f>
        <v>판매가 없음</v>
      </c>
      <c r="L22" s="69">
        <f>_xlfn.XLOOKUP(
    C22 &amp; "|" &amp; D22 &amp; "|" &amp; E22,
    단가표!$Q$2:$Q$387,
    단가표!$I$2:$I$387,
   0
)</f>
        <v>0</v>
      </c>
      <c r="M22" s="379">
        <f>_xlfn.XLOOKUP(
    C22 &amp; "|" &amp; D22 &amp; "|" &amp; E22,
    단가표!$Q$2:$Q$387,
    단가표!$J$2:$J$387,
   0
)</f>
        <v>0</v>
      </c>
      <c r="N22" s="69">
        <f>_xlfn.XLOOKUP(
    C22 &amp; "|" &amp; D22 &amp; "|" &amp; E22,
    단가표!$Q$2:$Q$387,
    단가표!$K$2:$K$387,
   0
)</f>
        <v>0</v>
      </c>
      <c r="O22" s="56">
        <f t="shared" si="6"/>
        <v>0</v>
      </c>
      <c r="P22" s="56" t="str">
        <f>_xlfn.XLOOKUP(
    C22 &amp; "|" &amp; D22 &amp; "|" &amp; E22,
    단가표!$Q$2:$Q$387,
    단가표!$H$2:$H$387,
    "차열재 없음"
)</f>
        <v>차열재 없음</v>
      </c>
      <c r="Q22" s="56" t="str">
        <f>_xlfn.XLOOKUP(
    C22 &amp; "|" &amp; D22 &amp; "|" &amp; E22,
    단가표!$Q$2:$Q$387,
    단가표!$L$2:$L$387,
    "0"
)</f>
        <v>0</v>
      </c>
      <c r="R22" s="56" t="str">
        <f>_xlfn.XLOOKUP(
    C22 &amp; "|" &amp; D22 &amp; "|" &amp; E22,
    단가표!$Q$2:$Q$387,
    단가표!$M$2:$M$387,
    "0"
)</f>
        <v>0</v>
      </c>
      <c r="S22" s="56">
        <f t="shared" si="7"/>
        <v>0</v>
      </c>
      <c r="T22" s="106">
        <f>_xlfn.XLOOKUP(
    C22 &amp; "|" &amp; D22 &amp; "|" &amp; E22,
    단가표!$Q$2:$Q$387,
    단가표!$E$2:$E$387,
    0
)</f>
        <v>0</v>
      </c>
      <c r="U22" s="105">
        <f t="shared" si="8"/>
        <v>0</v>
      </c>
      <c r="V22" s="83">
        <f>_xlfn.XLOOKUP(
    C22 &amp; "|" &amp; D22 &amp; "|" &amp; E22,
    단가표!$Q$2:$Q$387,
    단가표!$G$2:$G$387,
    0
)</f>
        <v>0</v>
      </c>
      <c r="W22" s="83">
        <f t="shared" si="9"/>
        <v>0</v>
      </c>
      <c r="X22" s="83">
        <f t="shared" si="10"/>
        <v>0</v>
      </c>
      <c r="Y22" s="37">
        <f t="shared" si="11"/>
        <v>0</v>
      </c>
    </row>
    <row r="23" spans="2:25" ht="26.45" customHeight="1">
      <c r="B23" s="35">
        <f t="shared" si="5"/>
        <v>11</v>
      </c>
      <c r="C23" s="43"/>
      <c r="D23" s="43"/>
      <c r="E23" s="44"/>
      <c r="F23" s="396"/>
      <c r="G23" s="39"/>
      <c r="H23" s="39"/>
      <c r="I23" s="356"/>
      <c r="J23" s="38"/>
      <c r="K23" s="56" t="str">
        <f>IF(V23=0,
    "판매가 없음",
    _xlfn.XLOOKUP(
        C23 &amp; "|" &amp; D23 &amp; "|" &amp; E23,
        단가표!$Q$2:$Q$387,
        단가표!$O$2:$O$387,
        "0"
    )
)</f>
        <v>판매가 없음</v>
      </c>
      <c r="L23" s="69">
        <f>_xlfn.XLOOKUP(
    C23 &amp; "|" &amp; D23 &amp; "|" &amp; E23,
    단가표!$Q$2:$Q$387,
    단가표!$I$2:$I$387,
   0
)</f>
        <v>0</v>
      </c>
      <c r="M23" s="379">
        <f>_xlfn.XLOOKUP(
    C23 &amp; "|" &amp; D23 &amp; "|" &amp; E23,
    단가표!$Q$2:$Q$387,
    단가표!$J$2:$J$387,
   0
)</f>
        <v>0</v>
      </c>
      <c r="N23" s="69">
        <f>_xlfn.XLOOKUP(
    C23 &amp; "|" &amp; D23 &amp; "|" &amp; E23,
    단가표!$Q$2:$Q$387,
    단가표!$K$2:$K$387,
   0
)</f>
        <v>0</v>
      </c>
      <c r="O23" s="56">
        <f t="shared" si="6"/>
        <v>0</v>
      </c>
      <c r="P23" s="56" t="str">
        <f>_xlfn.XLOOKUP(
    C23 &amp; "|" &amp; D23 &amp; "|" &amp; E23,
    단가표!$Q$2:$Q$387,
    단가표!$H$2:$H$387,
    "차열재 없음"
)</f>
        <v>차열재 없음</v>
      </c>
      <c r="Q23" s="56" t="str">
        <f>_xlfn.XLOOKUP(
    C23 &amp; "|" &amp; D23 &amp; "|" &amp; E23,
    단가표!$Q$2:$Q$387,
    단가표!$L$2:$L$387,
    "0"
)</f>
        <v>0</v>
      </c>
      <c r="R23" s="56" t="str">
        <f>_xlfn.XLOOKUP(
    C23 &amp; "|" &amp; D23 &amp; "|" &amp; E23,
    단가표!$Q$2:$Q$387,
    단가표!$M$2:$M$387,
    "0"
)</f>
        <v>0</v>
      </c>
      <c r="S23" s="56">
        <f t="shared" si="7"/>
        <v>0</v>
      </c>
      <c r="T23" s="106">
        <f>_xlfn.XLOOKUP(
    C23 &amp; "|" &amp; D23 &amp; "|" &amp; E23,
    단가표!$Q$2:$Q$387,
    단가표!$E$2:$E$387,
    0
)</f>
        <v>0</v>
      </c>
      <c r="U23" s="105">
        <f t="shared" si="8"/>
        <v>0</v>
      </c>
      <c r="V23" s="83">
        <f>_xlfn.XLOOKUP(
    C23 &amp; "|" &amp; D23 &amp; "|" &amp; E23,
    단가표!$Q$2:$Q$387,
    단가표!$G$2:$G$387,
    0
)</f>
        <v>0</v>
      </c>
      <c r="W23" s="83">
        <f t="shared" si="9"/>
        <v>0</v>
      </c>
      <c r="X23" s="83">
        <f t="shared" si="10"/>
        <v>0</v>
      </c>
      <c r="Y23" s="37">
        <f t="shared" si="11"/>
        <v>0</v>
      </c>
    </row>
    <row r="24" spans="2:25" ht="26.45" customHeight="1">
      <c r="B24" s="35">
        <f t="shared" si="5"/>
        <v>12</v>
      </c>
      <c r="C24" s="43"/>
      <c r="D24" s="43"/>
      <c r="E24" s="44"/>
      <c r="F24" s="396"/>
      <c r="G24" s="39"/>
      <c r="H24" s="39"/>
      <c r="I24" s="356"/>
      <c r="J24" s="38"/>
      <c r="K24" s="56" t="str">
        <f>IF(V24=0,
    "판매가 없음",
    _xlfn.XLOOKUP(
        C24 &amp; "|" &amp; D24 &amp; "|" &amp; E24,
        단가표!$Q$2:$Q$387,
        단가표!$O$2:$O$387,
        "0"
    )
)</f>
        <v>판매가 없음</v>
      </c>
      <c r="L24" s="69">
        <f>_xlfn.XLOOKUP(
    C24 &amp; "|" &amp; D24 &amp; "|" &amp; E24,
    단가표!$Q$2:$Q$387,
    단가표!$I$2:$I$387,
   0
)</f>
        <v>0</v>
      </c>
      <c r="M24" s="379">
        <f>_xlfn.XLOOKUP(
    C24 &amp; "|" &amp; D24 &amp; "|" &amp; E24,
    단가표!$Q$2:$Q$387,
    단가표!$J$2:$J$387,
   0
)</f>
        <v>0</v>
      </c>
      <c r="N24" s="69">
        <f>_xlfn.XLOOKUP(
    C24 &amp; "|" &amp; D24 &amp; "|" &amp; E24,
    단가표!$Q$2:$Q$387,
    단가표!$K$2:$K$387,
   0
)</f>
        <v>0</v>
      </c>
      <c r="O24" s="56">
        <f t="shared" si="6"/>
        <v>0</v>
      </c>
      <c r="P24" s="56" t="str">
        <f>_xlfn.XLOOKUP(
    C24 &amp; "|" &amp; D24 &amp; "|" &amp; E24,
    단가표!$Q$2:$Q$387,
    단가표!$H$2:$H$387,
    "차열재 없음"
)</f>
        <v>차열재 없음</v>
      </c>
      <c r="Q24" s="56" t="str">
        <f>_xlfn.XLOOKUP(
    C24 &amp; "|" &amp; D24 &amp; "|" &amp; E24,
    단가표!$Q$2:$Q$387,
    단가표!$L$2:$L$387,
    "0"
)</f>
        <v>0</v>
      </c>
      <c r="R24" s="56" t="str">
        <f>_xlfn.XLOOKUP(
    C24 &amp; "|" &amp; D24 &amp; "|" &amp; E24,
    단가표!$Q$2:$Q$387,
    단가표!$M$2:$M$387,
    "0"
)</f>
        <v>0</v>
      </c>
      <c r="S24" s="56">
        <f t="shared" si="7"/>
        <v>0</v>
      </c>
      <c r="T24" s="106">
        <f>_xlfn.XLOOKUP(
    C24 &amp; "|" &amp; D24 &amp; "|" &amp; E24,
    단가표!$Q$2:$Q$387,
    단가표!$E$2:$E$387,
    0
)</f>
        <v>0</v>
      </c>
      <c r="U24" s="105">
        <f t="shared" si="8"/>
        <v>0</v>
      </c>
      <c r="V24" s="83">
        <f>_xlfn.XLOOKUP(
    C24 &amp; "|" &amp; D24 &amp; "|" &amp; E24,
    단가표!$Q$2:$Q$387,
    단가표!$G$2:$G$387,
    0
)</f>
        <v>0</v>
      </c>
      <c r="W24" s="83">
        <f t="shared" si="9"/>
        <v>0</v>
      </c>
      <c r="X24" s="83">
        <f t="shared" si="10"/>
        <v>0</v>
      </c>
      <c r="Y24" s="37">
        <f t="shared" si="11"/>
        <v>0</v>
      </c>
    </row>
    <row r="25" spans="2:25" ht="26.45" customHeight="1">
      <c r="B25" s="35">
        <f t="shared" si="5"/>
        <v>13</v>
      </c>
      <c r="C25" s="43"/>
      <c r="D25" s="43"/>
      <c r="E25" s="44"/>
      <c r="F25" s="396"/>
      <c r="G25" s="39"/>
      <c r="H25" s="39"/>
      <c r="I25" s="356"/>
      <c r="J25" s="38"/>
      <c r="K25" s="56" t="str">
        <f>IF(V25=0,
    "판매가 없음",
    _xlfn.XLOOKUP(
        C25 &amp; "|" &amp; D25 &amp; "|" &amp; E25,
        단가표!$Q$2:$Q$387,
        단가표!$O$2:$O$387,
        "0"
    )
)</f>
        <v>판매가 없음</v>
      </c>
      <c r="L25" s="69">
        <f>_xlfn.XLOOKUP(
    C25 &amp; "|" &amp; D25 &amp; "|" &amp; E25,
    단가표!$Q$2:$Q$387,
    단가표!$I$2:$I$387,
   0
)</f>
        <v>0</v>
      </c>
      <c r="M25" s="379">
        <f>_xlfn.XLOOKUP(
    C25 &amp; "|" &amp; D25 &amp; "|" &amp; E25,
    단가표!$Q$2:$Q$387,
    단가표!$J$2:$J$387,
   0
)</f>
        <v>0</v>
      </c>
      <c r="N25" s="69">
        <f>_xlfn.XLOOKUP(
    C25 &amp; "|" &amp; D25 &amp; "|" &amp; E25,
    단가표!$Q$2:$Q$387,
    단가표!$K$2:$K$387,
   0
)</f>
        <v>0</v>
      </c>
      <c r="O25" s="56">
        <f t="shared" si="6"/>
        <v>0</v>
      </c>
      <c r="P25" s="56" t="str">
        <f>_xlfn.XLOOKUP(
    C25 &amp; "|" &amp; D25 &amp; "|" &amp; E25,
    단가표!$Q$2:$Q$387,
    단가표!$H$2:$H$387,
    "차열재 없음"
)</f>
        <v>차열재 없음</v>
      </c>
      <c r="Q25" s="56" t="str">
        <f>_xlfn.XLOOKUP(
    C25 &amp; "|" &amp; D25 &amp; "|" &amp; E25,
    단가표!$Q$2:$Q$387,
    단가표!$L$2:$L$387,
    "0"
)</f>
        <v>0</v>
      </c>
      <c r="R25" s="56" t="str">
        <f>_xlfn.XLOOKUP(
    C25 &amp; "|" &amp; D25 &amp; "|" &amp; E25,
    단가표!$Q$2:$Q$387,
    단가표!$M$2:$M$387,
    "0"
)</f>
        <v>0</v>
      </c>
      <c r="S25" s="56">
        <f t="shared" si="7"/>
        <v>0</v>
      </c>
      <c r="T25" s="106">
        <f>_xlfn.XLOOKUP(
    C25 &amp; "|" &amp; D25 &amp; "|" &amp; E25,
    단가표!$Q$2:$Q$387,
    단가표!$E$2:$E$387,
    0
)</f>
        <v>0</v>
      </c>
      <c r="U25" s="105">
        <f t="shared" si="8"/>
        <v>0</v>
      </c>
      <c r="V25" s="83">
        <f>_xlfn.XLOOKUP(
    C25 &amp; "|" &amp; D25 &amp; "|" &amp; E25,
    단가표!$Q$2:$Q$387,
    단가표!$G$2:$G$387,
    0
)</f>
        <v>0</v>
      </c>
      <c r="W25" s="83">
        <f t="shared" si="9"/>
        <v>0</v>
      </c>
      <c r="X25" s="83">
        <f t="shared" si="10"/>
        <v>0</v>
      </c>
      <c r="Y25" s="37">
        <f t="shared" si="11"/>
        <v>0</v>
      </c>
    </row>
    <row r="26" spans="2:25" ht="26.45" customHeight="1">
      <c r="B26" s="35">
        <f t="shared" si="5"/>
        <v>14</v>
      </c>
      <c r="C26" s="43"/>
      <c r="D26" s="43"/>
      <c r="E26" s="44"/>
      <c r="F26" s="396"/>
      <c r="G26" s="39"/>
      <c r="H26" s="39"/>
      <c r="I26" s="356"/>
      <c r="J26" s="38"/>
      <c r="K26" s="56" t="str">
        <f>IF(V26=0,
    "판매가 없음",
    _xlfn.XLOOKUP(
        C26 &amp; "|" &amp; D26 &amp; "|" &amp; E26,
        단가표!$Q$2:$Q$387,
        단가표!$O$2:$O$387,
        "0"
    )
)</f>
        <v>판매가 없음</v>
      </c>
      <c r="L26" s="69">
        <f>_xlfn.XLOOKUP(
    C26 &amp; "|" &amp; D26 &amp; "|" &amp; E26,
    단가표!$Q$2:$Q$387,
    단가표!$I$2:$I$387,
   0
)</f>
        <v>0</v>
      </c>
      <c r="M26" s="379">
        <f>_xlfn.XLOOKUP(
    C26 &amp; "|" &amp; D26 &amp; "|" &amp; E26,
    단가표!$Q$2:$Q$387,
    단가표!$J$2:$J$387,
   0
)</f>
        <v>0</v>
      </c>
      <c r="N26" s="69">
        <f>_xlfn.XLOOKUP(
    C26 &amp; "|" &amp; D26 &amp; "|" &amp; E26,
    단가표!$Q$2:$Q$387,
    단가표!$K$2:$K$387,
   0
)</f>
        <v>0</v>
      </c>
      <c r="O26" s="56">
        <f t="shared" si="6"/>
        <v>0</v>
      </c>
      <c r="P26" s="56" t="str">
        <f>_xlfn.XLOOKUP(
    C26 &amp; "|" &amp; D26 &amp; "|" &amp; E26,
    단가표!$Q$2:$Q$387,
    단가표!$H$2:$H$387,
    "차열재 없음"
)</f>
        <v>차열재 없음</v>
      </c>
      <c r="Q26" s="56" t="str">
        <f>_xlfn.XLOOKUP(
    C26 &amp; "|" &amp; D26 &amp; "|" &amp; E26,
    단가표!$Q$2:$Q$387,
    단가표!$L$2:$L$387,
    "0"
)</f>
        <v>0</v>
      </c>
      <c r="R26" s="56" t="str">
        <f>_xlfn.XLOOKUP(
    C26 &amp; "|" &amp; D26 &amp; "|" &amp; E26,
    단가표!$Q$2:$Q$387,
    단가표!$M$2:$M$387,
    "0"
)</f>
        <v>0</v>
      </c>
      <c r="S26" s="56">
        <f t="shared" si="7"/>
        <v>0</v>
      </c>
      <c r="T26" s="106">
        <f>_xlfn.XLOOKUP(
    C26 &amp; "|" &amp; D26 &amp; "|" &amp; E26,
    단가표!$Q$2:$Q$387,
    단가표!$E$2:$E$387,
    0
)</f>
        <v>0</v>
      </c>
      <c r="U26" s="105">
        <f t="shared" si="8"/>
        <v>0</v>
      </c>
      <c r="V26" s="83">
        <f>_xlfn.XLOOKUP(
    C26 &amp; "|" &amp; D26 &amp; "|" &amp; E26,
    단가표!$Q$2:$Q$387,
    단가표!$G$2:$G$387,
    0
)</f>
        <v>0</v>
      </c>
      <c r="W26" s="83">
        <f t="shared" si="9"/>
        <v>0</v>
      </c>
      <c r="X26" s="83">
        <f t="shared" si="10"/>
        <v>0</v>
      </c>
      <c r="Y26" s="37">
        <f t="shared" si="11"/>
        <v>0</v>
      </c>
    </row>
    <row r="27" spans="2:25" ht="26.45" customHeight="1">
      <c r="B27" s="35">
        <f t="shared" si="5"/>
        <v>15</v>
      </c>
      <c r="C27" s="43"/>
      <c r="D27" s="43"/>
      <c r="E27" s="44"/>
      <c r="F27" s="396"/>
      <c r="G27" s="39"/>
      <c r="H27" s="39"/>
      <c r="I27" s="356"/>
      <c r="J27" s="38"/>
      <c r="K27" s="56" t="str">
        <f>IF(V27=0,
    "판매가 없음",
    _xlfn.XLOOKUP(
        C27 &amp; "|" &amp; D27 &amp; "|" &amp; E27,
        단가표!$Q$2:$Q$387,
        단가표!$O$2:$O$387,
        "0"
    )
)</f>
        <v>판매가 없음</v>
      </c>
      <c r="L27" s="69">
        <f>_xlfn.XLOOKUP(
    C27 &amp; "|" &amp; D27 &amp; "|" &amp; E27,
    단가표!$Q$2:$Q$387,
    단가표!$I$2:$I$387,
   0
)</f>
        <v>0</v>
      </c>
      <c r="M27" s="379">
        <f>_xlfn.XLOOKUP(
    C27 &amp; "|" &amp; D27 &amp; "|" &amp; E27,
    단가표!$Q$2:$Q$387,
    단가표!$J$2:$J$387,
   0
)</f>
        <v>0</v>
      </c>
      <c r="N27" s="69">
        <f>_xlfn.XLOOKUP(
    C27 &amp; "|" &amp; D27 &amp; "|" &amp; E27,
    단가표!$Q$2:$Q$387,
    단가표!$K$2:$K$387,
   0
)</f>
        <v>0</v>
      </c>
      <c r="O27" s="56">
        <f t="shared" si="6"/>
        <v>0</v>
      </c>
      <c r="P27" s="56" t="str">
        <f>_xlfn.XLOOKUP(
    C27 &amp; "|" &amp; D27 &amp; "|" &amp; E27,
    단가표!$Q$2:$Q$387,
    단가표!$H$2:$H$387,
    "차열재 없음"
)</f>
        <v>차열재 없음</v>
      </c>
      <c r="Q27" s="56" t="str">
        <f>_xlfn.XLOOKUP(
    C27 &amp; "|" &amp; D27 &amp; "|" &amp; E27,
    단가표!$Q$2:$Q$387,
    단가표!$L$2:$L$387,
    "0"
)</f>
        <v>0</v>
      </c>
      <c r="R27" s="56" t="str">
        <f>_xlfn.XLOOKUP(
    C27 &amp; "|" &amp; D27 &amp; "|" &amp; E27,
    단가표!$Q$2:$Q$387,
    단가표!$M$2:$M$387,
    "0"
)</f>
        <v>0</v>
      </c>
      <c r="S27" s="56">
        <f t="shared" si="7"/>
        <v>0</v>
      </c>
      <c r="T27" s="106">
        <f>_xlfn.XLOOKUP(
    C27 &amp; "|" &amp; D27 &amp; "|" &amp; E27,
    단가표!$Q$2:$Q$387,
    단가표!$E$2:$E$387,
    0
)</f>
        <v>0</v>
      </c>
      <c r="U27" s="105">
        <f t="shared" si="8"/>
        <v>0</v>
      </c>
      <c r="V27" s="83">
        <f>_xlfn.XLOOKUP(
    C27 &amp; "|" &amp; D27 &amp; "|" &amp; E27,
    단가표!$Q$2:$Q$387,
    단가표!$G$2:$G$387,
    0
)</f>
        <v>0</v>
      </c>
      <c r="W27" s="83">
        <f t="shared" si="9"/>
        <v>0</v>
      </c>
      <c r="X27" s="83">
        <f t="shared" si="10"/>
        <v>0</v>
      </c>
      <c r="Y27" s="37">
        <f t="shared" si="11"/>
        <v>0</v>
      </c>
    </row>
    <row r="28" spans="2:25" ht="26.45" customHeight="1">
      <c r="B28" s="35">
        <f t="shared" si="5"/>
        <v>16</v>
      </c>
      <c r="C28" s="43"/>
      <c r="D28" s="43"/>
      <c r="E28" s="44"/>
      <c r="F28" s="396"/>
      <c r="G28" s="39"/>
      <c r="H28" s="39"/>
      <c r="I28" s="356"/>
      <c r="J28" s="38"/>
      <c r="K28" s="56" t="str">
        <f>IF(V28=0,
    "판매가 없음",
    _xlfn.XLOOKUP(
        C28 &amp; "|" &amp; D28 &amp; "|" &amp; E28,
        단가표!$Q$2:$Q$387,
        단가표!$O$2:$O$387,
        "0"
    )
)</f>
        <v>판매가 없음</v>
      </c>
      <c r="L28" s="69">
        <f>_xlfn.XLOOKUP(
    C28 &amp; "|" &amp; D28 &amp; "|" &amp; E28,
    단가표!$Q$2:$Q$387,
    단가표!$I$2:$I$387,
   0
)</f>
        <v>0</v>
      </c>
      <c r="M28" s="379">
        <f>_xlfn.XLOOKUP(
    C28 &amp; "|" &amp; D28 &amp; "|" &amp; E28,
    단가표!$Q$2:$Q$387,
    단가표!$J$2:$J$387,
   0
)</f>
        <v>0</v>
      </c>
      <c r="N28" s="69">
        <f>_xlfn.XLOOKUP(
    C28 &amp; "|" &amp; D28 &amp; "|" &amp; E28,
    단가표!$Q$2:$Q$387,
    단가표!$K$2:$K$387,
   0
)</f>
        <v>0</v>
      </c>
      <c r="O28" s="56">
        <f t="shared" si="6"/>
        <v>0</v>
      </c>
      <c r="P28" s="56" t="str">
        <f>_xlfn.XLOOKUP(
    C28 &amp; "|" &amp; D28 &amp; "|" &amp; E28,
    단가표!$Q$2:$Q$387,
    단가표!$H$2:$H$387,
    "차열재 없음"
)</f>
        <v>차열재 없음</v>
      </c>
      <c r="Q28" s="56" t="str">
        <f>_xlfn.XLOOKUP(
    C28 &amp; "|" &amp; D28 &amp; "|" &amp; E28,
    단가표!$Q$2:$Q$387,
    단가표!$L$2:$L$387,
    "0"
)</f>
        <v>0</v>
      </c>
      <c r="R28" s="56" t="str">
        <f>_xlfn.XLOOKUP(
    C28 &amp; "|" &amp; D28 &amp; "|" &amp; E28,
    단가표!$Q$2:$Q$387,
    단가표!$M$2:$M$387,
    "0"
)</f>
        <v>0</v>
      </c>
      <c r="S28" s="56">
        <f t="shared" si="7"/>
        <v>0</v>
      </c>
      <c r="T28" s="106">
        <f>_xlfn.XLOOKUP(
    C28 &amp; "|" &amp; D28 &amp; "|" &amp; E28,
    단가표!$Q$2:$Q$387,
    단가표!$E$2:$E$387,
    0
)</f>
        <v>0</v>
      </c>
      <c r="U28" s="105">
        <f t="shared" si="8"/>
        <v>0</v>
      </c>
      <c r="V28" s="83">
        <f>_xlfn.XLOOKUP(
    C28 &amp; "|" &amp; D28 &amp; "|" &amp; E28,
    단가표!$Q$2:$Q$387,
    단가표!$G$2:$G$387,
    0
)</f>
        <v>0</v>
      </c>
      <c r="W28" s="83">
        <f t="shared" si="9"/>
        <v>0</v>
      </c>
      <c r="X28" s="83">
        <f t="shared" si="10"/>
        <v>0</v>
      </c>
      <c r="Y28" s="37">
        <f t="shared" si="11"/>
        <v>0</v>
      </c>
    </row>
    <row r="29" spans="2:25" ht="26.45" customHeight="1">
      <c r="B29" s="35">
        <f t="shared" si="5"/>
        <v>17</v>
      </c>
      <c r="C29" s="43"/>
      <c r="D29" s="43"/>
      <c r="E29" s="44"/>
      <c r="F29" s="396"/>
      <c r="G29" s="39"/>
      <c r="H29" s="39"/>
      <c r="I29" s="356"/>
      <c r="J29" s="38"/>
      <c r="K29" s="56" t="str">
        <f>IF(V29=0,
    "판매가 없음",
    _xlfn.XLOOKUP(
        C29 &amp; "|" &amp; D29 &amp; "|" &amp; E29,
        단가표!$Q$2:$Q$387,
        단가표!$O$2:$O$387,
        "0"
    )
)</f>
        <v>판매가 없음</v>
      </c>
      <c r="L29" s="69">
        <f>_xlfn.XLOOKUP(
    C29 &amp; "|" &amp; D29 &amp; "|" &amp; E29,
    단가표!$Q$2:$Q$387,
    단가표!$I$2:$I$387,
   0
)</f>
        <v>0</v>
      </c>
      <c r="M29" s="379">
        <f>_xlfn.XLOOKUP(
    C29 &amp; "|" &amp; D29 &amp; "|" &amp; E29,
    단가표!$Q$2:$Q$387,
    단가표!$J$2:$J$387,
   0
)</f>
        <v>0</v>
      </c>
      <c r="N29" s="69">
        <f>_xlfn.XLOOKUP(
    C29 &amp; "|" &amp; D29 &amp; "|" &amp; E29,
    단가표!$Q$2:$Q$387,
    단가표!$K$2:$K$387,
   0
)</f>
        <v>0</v>
      </c>
      <c r="O29" s="56">
        <f t="shared" si="6"/>
        <v>0</v>
      </c>
      <c r="P29" s="56" t="str">
        <f>_xlfn.XLOOKUP(
    C29 &amp; "|" &amp; D29 &amp; "|" &amp; E29,
    단가표!$Q$2:$Q$387,
    단가표!$H$2:$H$387,
    "차열재 없음"
)</f>
        <v>차열재 없음</v>
      </c>
      <c r="Q29" s="56" t="str">
        <f>_xlfn.XLOOKUP(
    C29 &amp; "|" &amp; D29 &amp; "|" &amp; E29,
    단가표!$Q$2:$Q$387,
    단가표!$L$2:$L$387,
    "0"
)</f>
        <v>0</v>
      </c>
      <c r="R29" s="56" t="str">
        <f>_xlfn.XLOOKUP(
    C29 &amp; "|" &amp; D29 &amp; "|" &amp; E29,
    단가표!$Q$2:$Q$387,
    단가표!$M$2:$M$387,
    "0"
)</f>
        <v>0</v>
      </c>
      <c r="S29" s="56">
        <f t="shared" si="7"/>
        <v>0</v>
      </c>
      <c r="T29" s="106">
        <f>_xlfn.XLOOKUP(
    C29 &amp; "|" &amp; D29 &amp; "|" &amp; E29,
    단가표!$Q$2:$Q$387,
    단가표!$E$2:$E$387,
    0
)</f>
        <v>0</v>
      </c>
      <c r="U29" s="105">
        <f t="shared" si="8"/>
        <v>0</v>
      </c>
      <c r="V29" s="83">
        <f>_xlfn.XLOOKUP(
    C29 &amp; "|" &amp; D29 &amp; "|" &amp; E29,
    단가표!$Q$2:$Q$387,
    단가표!$G$2:$G$387,
    0
)</f>
        <v>0</v>
      </c>
      <c r="W29" s="83">
        <f t="shared" si="9"/>
        <v>0</v>
      </c>
      <c r="X29" s="83">
        <f t="shared" si="10"/>
        <v>0</v>
      </c>
      <c r="Y29" s="37">
        <f t="shared" si="11"/>
        <v>0</v>
      </c>
    </row>
    <row r="30" spans="2:25" ht="26.45" customHeight="1">
      <c r="B30" s="35">
        <f t="shared" si="5"/>
        <v>18</v>
      </c>
      <c r="C30" s="43"/>
      <c r="D30" s="43"/>
      <c r="E30" s="44"/>
      <c r="F30" s="396"/>
      <c r="G30" s="39"/>
      <c r="H30" s="39"/>
      <c r="I30" s="356"/>
      <c r="J30" s="38"/>
      <c r="K30" s="56" t="str">
        <f>IF(V30=0,
    "판매가 없음",
    _xlfn.XLOOKUP(
        C30 &amp; "|" &amp; D30 &amp; "|" &amp; E30,
        단가표!$Q$2:$Q$387,
        단가표!$O$2:$O$387,
        "0"
    )
)</f>
        <v>판매가 없음</v>
      </c>
      <c r="L30" s="69">
        <f>_xlfn.XLOOKUP(
    C30 &amp; "|" &amp; D30 &amp; "|" &amp; E30,
    단가표!$Q$2:$Q$387,
    단가표!$I$2:$I$387,
   0
)</f>
        <v>0</v>
      </c>
      <c r="M30" s="379">
        <f>_xlfn.XLOOKUP(
    C30 &amp; "|" &amp; D30 &amp; "|" &amp; E30,
    단가표!$Q$2:$Q$387,
    단가표!$J$2:$J$387,
   0
)</f>
        <v>0</v>
      </c>
      <c r="N30" s="69">
        <f>_xlfn.XLOOKUP(
    C30 &amp; "|" &amp; D30 &amp; "|" &amp; E30,
    단가표!$Q$2:$Q$387,
    단가표!$K$2:$K$387,
   0
)</f>
        <v>0</v>
      </c>
      <c r="O30" s="56">
        <f t="shared" si="6"/>
        <v>0</v>
      </c>
      <c r="P30" s="56" t="str">
        <f>_xlfn.XLOOKUP(
    C30 &amp; "|" &amp; D30 &amp; "|" &amp; E30,
    단가표!$Q$2:$Q$387,
    단가표!$H$2:$H$387,
    "차열재 없음"
)</f>
        <v>차열재 없음</v>
      </c>
      <c r="Q30" s="56" t="str">
        <f>_xlfn.XLOOKUP(
    C30 &amp; "|" &amp; D30 &amp; "|" &amp; E30,
    단가표!$Q$2:$Q$387,
    단가표!$L$2:$L$387,
    "0"
)</f>
        <v>0</v>
      </c>
      <c r="R30" s="56" t="str">
        <f>_xlfn.XLOOKUP(
    C30 &amp; "|" &amp; D30 &amp; "|" &amp; E30,
    단가표!$Q$2:$Q$387,
    단가표!$M$2:$M$387,
    "0"
)</f>
        <v>0</v>
      </c>
      <c r="S30" s="56">
        <f t="shared" si="7"/>
        <v>0</v>
      </c>
      <c r="T30" s="106">
        <f>_xlfn.XLOOKUP(
    C30 &amp; "|" &amp; D30 &amp; "|" &amp; E30,
    단가표!$Q$2:$Q$387,
    단가표!$E$2:$E$387,
    0
)</f>
        <v>0</v>
      </c>
      <c r="U30" s="105">
        <f t="shared" si="8"/>
        <v>0</v>
      </c>
      <c r="V30" s="83">
        <f>_xlfn.XLOOKUP(
    C30 &amp; "|" &amp; D30 &amp; "|" &amp; E30,
    단가표!$Q$2:$Q$387,
    단가표!$G$2:$G$387,
    0
)</f>
        <v>0</v>
      </c>
      <c r="W30" s="83">
        <f t="shared" si="9"/>
        <v>0</v>
      </c>
      <c r="X30" s="83">
        <f t="shared" si="10"/>
        <v>0</v>
      </c>
      <c r="Y30" s="37">
        <f t="shared" si="11"/>
        <v>0</v>
      </c>
    </row>
    <row r="31" spans="2:25" ht="26.45" customHeight="1">
      <c r="B31" s="35">
        <f t="shared" si="5"/>
        <v>19</v>
      </c>
      <c r="C31" s="43"/>
      <c r="D31" s="43"/>
      <c r="E31" s="44"/>
      <c r="F31" s="396"/>
      <c r="G31" s="39"/>
      <c r="H31" s="39"/>
      <c r="I31" s="356"/>
      <c r="J31" s="38"/>
      <c r="K31" s="56" t="str">
        <f>IF(V31=0,
    "판매가 없음",
    _xlfn.XLOOKUP(
        C31 &amp; "|" &amp; D31 &amp; "|" &amp; E31,
        단가표!$Q$2:$Q$387,
        단가표!$O$2:$O$387,
        "0"
    )
)</f>
        <v>판매가 없음</v>
      </c>
      <c r="L31" s="69">
        <f>_xlfn.XLOOKUP(
    C31 &amp; "|" &amp; D31 &amp; "|" &amp; E31,
    단가표!$Q$2:$Q$387,
    단가표!$I$2:$I$387,
   0
)</f>
        <v>0</v>
      </c>
      <c r="M31" s="379">
        <f>_xlfn.XLOOKUP(
    C31 &amp; "|" &amp; D31 &amp; "|" &amp; E31,
    단가표!$Q$2:$Q$387,
    단가표!$J$2:$J$387,
   0
)</f>
        <v>0</v>
      </c>
      <c r="N31" s="69">
        <f>_xlfn.XLOOKUP(
    C31 &amp; "|" &amp; D31 &amp; "|" &amp; E31,
    단가표!$Q$2:$Q$387,
    단가표!$K$2:$K$387,
   0
)</f>
        <v>0</v>
      </c>
      <c r="O31" s="56">
        <f t="shared" si="6"/>
        <v>0</v>
      </c>
      <c r="P31" s="56" t="str">
        <f>_xlfn.XLOOKUP(
    C31 &amp; "|" &amp; D31 &amp; "|" &amp; E31,
    단가표!$Q$2:$Q$387,
    단가표!$H$2:$H$387,
    "차열재 없음"
)</f>
        <v>차열재 없음</v>
      </c>
      <c r="Q31" s="56" t="str">
        <f>_xlfn.XLOOKUP(
    C31 &amp; "|" &amp; D31 &amp; "|" &amp; E31,
    단가표!$Q$2:$Q$387,
    단가표!$L$2:$L$387,
    "0"
)</f>
        <v>0</v>
      </c>
      <c r="R31" s="56" t="str">
        <f>_xlfn.XLOOKUP(
    C31 &amp; "|" &amp; D31 &amp; "|" &amp; E31,
    단가표!$Q$2:$Q$387,
    단가표!$M$2:$M$387,
    "0"
)</f>
        <v>0</v>
      </c>
      <c r="S31" s="56">
        <f t="shared" si="7"/>
        <v>0</v>
      </c>
      <c r="T31" s="106">
        <f>_xlfn.XLOOKUP(
    C31 &amp; "|" &amp; D31 &amp; "|" &amp; E31,
    단가표!$Q$2:$Q$387,
    단가표!$E$2:$E$387,
    0
)</f>
        <v>0</v>
      </c>
      <c r="U31" s="105">
        <f t="shared" si="8"/>
        <v>0</v>
      </c>
      <c r="V31" s="83">
        <f>_xlfn.XLOOKUP(
    C31 &amp; "|" &amp; D31 &amp; "|" &amp; E31,
    단가표!$Q$2:$Q$387,
    단가표!$G$2:$G$387,
    0
)</f>
        <v>0</v>
      </c>
      <c r="W31" s="83">
        <f t="shared" si="9"/>
        <v>0</v>
      </c>
      <c r="X31" s="83">
        <f t="shared" si="10"/>
        <v>0</v>
      </c>
      <c r="Y31" s="37">
        <f t="shared" si="11"/>
        <v>0</v>
      </c>
    </row>
    <row r="32" spans="2:25" ht="26.45" customHeight="1">
      <c r="B32" s="35">
        <f t="shared" si="5"/>
        <v>20</v>
      </c>
      <c r="C32" s="43"/>
      <c r="D32" s="43"/>
      <c r="E32" s="44"/>
      <c r="F32" s="396"/>
      <c r="G32" s="39"/>
      <c r="H32" s="39"/>
      <c r="I32" s="356"/>
      <c r="J32" s="38"/>
      <c r="K32" s="56" t="str">
        <f>IF(V32=0,
    "판매가 없음",
    _xlfn.XLOOKUP(
        C32 &amp; "|" &amp; D32 &amp; "|" &amp; E32,
        단가표!$Q$2:$Q$387,
        단가표!$O$2:$O$387,
        "0"
    )
)</f>
        <v>판매가 없음</v>
      </c>
      <c r="L32" s="69">
        <f>_xlfn.XLOOKUP(
    C32 &amp; "|" &amp; D32 &amp; "|" &amp; E32,
    단가표!$Q$2:$Q$387,
    단가표!$I$2:$I$387,
   0
)</f>
        <v>0</v>
      </c>
      <c r="M32" s="379">
        <f>_xlfn.XLOOKUP(
    C32 &amp; "|" &amp; D32 &amp; "|" &amp; E32,
    단가표!$Q$2:$Q$387,
    단가표!$J$2:$J$387,
   0
)</f>
        <v>0</v>
      </c>
      <c r="N32" s="69">
        <f>_xlfn.XLOOKUP(
    C32 &amp; "|" &amp; D32 &amp; "|" &amp; E32,
    단가표!$Q$2:$Q$387,
    단가표!$K$2:$K$387,
   0
)</f>
        <v>0</v>
      </c>
      <c r="O32" s="56">
        <f t="shared" si="6"/>
        <v>0</v>
      </c>
      <c r="P32" s="56" t="str">
        <f>_xlfn.XLOOKUP(
    C32 &amp; "|" &amp; D32 &amp; "|" &amp; E32,
    단가표!$Q$2:$Q$387,
    단가표!$H$2:$H$387,
    "차열재 없음"
)</f>
        <v>차열재 없음</v>
      </c>
      <c r="Q32" s="56" t="str">
        <f>_xlfn.XLOOKUP(
    C32 &amp; "|" &amp; D32 &amp; "|" &amp; E32,
    단가표!$Q$2:$Q$387,
    단가표!$L$2:$L$387,
    "0"
)</f>
        <v>0</v>
      </c>
      <c r="R32" s="56" t="str">
        <f>_xlfn.XLOOKUP(
    C32 &amp; "|" &amp; D32 &amp; "|" &amp; E32,
    단가표!$Q$2:$Q$387,
    단가표!$M$2:$M$387,
    "0"
)</f>
        <v>0</v>
      </c>
      <c r="S32" s="56">
        <f t="shared" si="7"/>
        <v>0</v>
      </c>
      <c r="T32" s="106">
        <f>_xlfn.XLOOKUP(
    C32 &amp; "|" &amp; D32 &amp; "|" &amp; E32,
    단가표!$Q$2:$Q$387,
    단가표!$E$2:$E$387,
    0
)</f>
        <v>0</v>
      </c>
      <c r="U32" s="105">
        <f t="shared" si="8"/>
        <v>0</v>
      </c>
      <c r="V32" s="83">
        <f>_xlfn.XLOOKUP(
    C32 &amp; "|" &amp; D32 &amp; "|" &amp; E32,
    단가표!$Q$2:$Q$387,
    단가표!$G$2:$G$387,
    0
)</f>
        <v>0</v>
      </c>
      <c r="W32" s="83">
        <f t="shared" si="9"/>
        <v>0</v>
      </c>
      <c r="X32" s="83">
        <f t="shared" si="10"/>
        <v>0</v>
      </c>
      <c r="Y32" s="37">
        <f t="shared" si="11"/>
        <v>0</v>
      </c>
    </row>
    <row r="33" spans="2:25" ht="26.45" customHeight="1">
      <c r="B33" s="35">
        <f t="shared" si="5"/>
        <v>21</v>
      </c>
      <c r="C33" s="43"/>
      <c r="D33" s="43"/>
      <c r="E33" s="44"/>
      <c r="F33" s="396"/>
      <c r="G33" s="39"/>
      <c r="H33" s="39"/>
      <c r="I33" s="356"/>
      <c r="J33" s="38"/>
      <c r="K33" s="56" t="str">
        <f>IF(V33=0,
    "판매가 없음",
    _xlfn.XLOOKUP(
        C33 &amp; "|" &amp; D33 &amp; "|" &amp; E33,
        단가표!$Q$2:$Q$387,
        단가표!$O$2:$O$387,
        "0"
    )
)</f>
        <v>판매가 없음</v>
      </c>
      <c r="L33" s="69">
        <f>_xlfn.XLOOKUP(
    C33 &amp; "|" &amp; D33 &amp; "|" &amp; E33,
    단가표!$Q$2:$Q$387,
    단가표!$I$2:$I$387,
   0
)</f>
        <v>0</v>
      </c>
      <c r="M33" s="379">
        <f>_xlfn.XLOOKUP(
    C33 &amp; "|" &amp; D33 &amp; "|" &amp; E33,
    단가표!$Q$2:$Q$387,
    단가표!$J$2:$J$387,
   0
)</f>
        <v>0</v>
      </c>
      <c r="N33" s="69">
        <f>_xlfn.XLOOKUP(
    C33 &amp; "|" &amp; D33 &amp; "|" &amp; E33,
    단가표!$Q$2:$Q$387,
    단가표!$K$2:$K$387,
   0
)</f>
        <v>0</v>
      </c>
      <c r="O33" s="56">
        <f t="shared" si="6"/>
        <v>0</v>
      </c>
      <c r="P33" s="56" t="str">
        <f>_xlfn.XLOOKUP(
    C33 &amp; "|" &amp; D33 &amp; "|" &amp; E33,
    단가표!$Q$2:$Q$387,
    단가표!$H$2:$H$387,
    "차열재 없음"
)</f>
        <v>차열재 없음</v>
      </c>
      <c r="Q33" s="56" t="str">
        <f>_xlfn.XLOOKUP(
    C33 &amp; "|" &amp; D33 &amp; "|" &amp; E33,
    단가표!$Q$2:$Q$387,
    단가표!$L$2:$L$387,
    "0"
)</f>
        <v>0</v>
      </c>
      <c r="R33" s="56" t="str">
        <f>_xlfn.XLOOKUP(
    C33 &amp; "|" &amp; D33 &amp; "|" &amp; E33,
    단가표!$Q$2:$Q$387,
    단가표!$M$2:$M$387,
    "0"
)</f>
        <v>0</v>
      </c>
      <c r="S33" s="56">
        <f t="shared" si="7"/>
        <v>0</v>
      </c>
      <c r="T33" s="106">
        <f>_xlfn.XLOOKUP(
    C33 &amp; "|" &amp; D33 &amp; "|" &amp; E33,
    단가표!$Q$2:$Q$387,
    단가표!$E$2:$E$387,
    0
)</f>
        <v>0</v>
      </c>
      <c r="U33" s="105">
        <f t="shared" si="8"/>
        <v>0</v>
      </c>
      <c r="V33" s="83">
        <f>_xlfn.XLOOKUP(
    C33 &amp; "|" &amp; D33 &amp; "|" &amp; E33,
    단가표!$Q$2:$Q$387,
    단가표!$G$2:$G$387,
    0
)</f>
        <v>0</v>
      </c>
      <c r="W33" s="83">
        <f t="shared" si="9"/>
        <v>0</v>
      </c>
      <c r="X33" s="83">
        <f t="shared" si="10"/>
        <v>0</v>
      </c>
      <c r="Y33" s="37">
        <f t="shared" si="11"/>
        <v>0</v>
      </c>
    </row>
    <row r="34" spans="2:25" ht="26.45" customHeight="1">
      <c r="B34" s="35">
        <f t="shared" si="5"/>
        <v>22</v>
      </c>
      <c r="C34" s="43"/>
      <c r="D34" s="43"/>
      <c r="E34" s="44"/>
      <c r="F34" s="396"/>
      <c r="G34" s="39"/>
      <c r="H34" s="39"/>
      <c r="I34" s="356"/>
      <c r="J34" s="38"/>
      <c r="K34" s="56" t="str">
        <f>IF(V34=0,
    "판매가 없음",
    _xlfn.XLOOKUP(
        C34 &amp; "|" &amp; D34 &amp; "|" &amp; E34,
        단가표!$Q$2:$Q$387,
        단가표!$O$2:$O$387,
        "0"
    )
)</f>
        <v>판매가 없음</v>
      </c>
      <c r="L34" s="69">
        <f>_xlfn.XLOOKUP(
    C34 &amp; "|" &amp; D34 &amp; "|" &amp; E34,
    단가표!$Q$2:$Q$387,
    단가표!$I$2:$I$387,
   0
)</f>
        <v>0</v>
      </c>
      <c r="M34" s="379">
        <f>_xlfn.XLOOKUP(
    C34 &amp; "|" &amp; D34 &amp; "|" &amp; E34,
    단가표!$Q$2:$Q$387,
    단가표!$J$2:$J$387,
   0
)</f>
        <v>0</v>
      </c>
      <c r="N34" s="69">
        <f>_xlfn.XLOOKUP(
    C34 &amp; "|" &amp; D34 &amp; "|" &amp; E34,
    단가표!$Q$2:$Q$387,
    단가표!$K$2:$K$387,
   0
)</f>
        <v>0</v>
      </c>
      <c r="O34" s="56">
        <f t="shared" si="6"/>
        <v>0</v>
      </c>
      <c r="P34" s="56" t="str">
        <f>_xlfn.XLOOKUP(
    C34 &amp; "|" &amp; D34 &amp; "|" &amp; E34,
    단가표!$Q$2:$Q$387,
    단가표!$H$2:$H$387,
    "차열재 없음"
)</f>
        <v>차열재 없음</v>
      </c>
      <c r="Q34" s="56" t="str">
        <f>_xlfn.XLOOKUP(
    C34 &amp; "|" &amp; D34 &amp; "|" &amp; E34,
    단가표!$Q$2:$Q$387,
    단가표!$L$2:$L$387,
    "0"
)</f>
        <v>0</v>
      </c>
      <c r="R34" s="56" t="str">
        <f>_xlfn.XLOOKUP(
    C34 &amp; "|" &amp; D34 &amp; "|" &amp; E34,
    단가표!$Q$2:$Q$387,
    단가표!$M$2:$M$387,
    "0"
)</f>
        <v>0</v>
      </c>
      <c r="S34" s="56">
        <f t="shared" si="7"/>
        <v>0</v>
      </c>
      <c r="T34" s="106">
        <f>_xlfn.XLOOKUP(
    C34 &amp; "|" &amp; D34 &amp; "|" &amp; E34,
    단가표!$Q$2:$Q$387,
    단가표!$E$2:$E$387,
    0
)</f>
        <v>0</v>
      </c>
      <c r="U34" s="105">
        <f t="shared" si="8"/>
        <v>0</v>
      </c>
      <c r="V34" s="83">
        <f>_xlfn.XLOOKUP(
    C34 &amp; "|" &amp; D34 &amp; "|" &amp; E34,
    단가표!$Q$2:$Q$387,
    단가표!$G$2:$G$387,
    0
)</f>
        <v>0</v>
      </c>
      <c r="W34" s="83">
        <f t="shared" si="9"/>
        <v>0</v>
      </c>
      <c r="X34" s="83">
        <f t="shared" si="10"/>
        <v>0</v>
      </c>
      <c r="Y34" s="37">
        <f t="shared" si="11"/>
        <v>0</v>
      </c>
    </row>
    <row r="35" spans="2:25" ht="26.45" customHeight="1">
      <c r="B35" s="35">
        <f t="shared" si="5"/>
        <v>23</v>
      </c>
      <c r="C35" s="43"/>
      <c r="D35" s="43"/>
      <c r="E35" s="44"/>
      <c r="F35" s="396"/>
      <c r="G35" s="39"/>
      <c r="H35" s="39"/>
      <c r="I35" s="356"/>
      <c r="J35" s="38"/>
      <c r="K35" s="56" t="str">
        <f>IF(V35=0,
    "판매가 없음",
    _xlfn.XLOOKUP(
        C35 &amp; "|" &amp; D35 &amp; "|" &amp; E35,
        단가표!$Q$2:$Q$387,
        단가표!$O$2:$O$387,
        "0"
    )
)</f>
        <v>판매가 없음</v>
      </c>
      <c r="L35" s="69">
        <f>_xlfn.XLOOKUP(
    C35 &amp; "|" &amp; D35 &amp; "|" &amp; E35,
    단가표!$Q$2:$Q$387,
    단가표!$I$2:$I$387,
   0
)</f>
        <v>0</v>
      </c>
      <c r="M35" s="379">
        <f>_xlfn.XLOOKUP(
    C35 &amp; "|" &amp; D35 &amp; "|" &amp; E35,
    단가표!$Q$2:$Q$387,
    단가표!$J$2:$J$387,
   0
)</f>
        <v>0</v>
      </c>
      <c r="N35" s="69">
        <f>_xlfn.XLOOKUP(
    C35 &amp; "|" &amp; D35 &amp; "|" &amp; E35,
    단가표!$Q$2:$Q$387,
    단가표!$K$2:$K$387,
   0
)</f>
        <v>0</v>
      </c>
      <c r="O35" s="56">
        <f t="shared" si="6"/>
        <v>0</v>
      </c>
      <c r="P35" s="56" t="str">
        <f>_xlfn.XLOOKUP(
    C35 &amp; "|" &amp; D35 &amp; "|" &amp; E35,
    단가표!$Q$2:$Q$387,
    단가표!$H$2:$H$387,
    "차열재 없음"
)</f>
        <v>차열재 없음</v>
      </c>
      <c r="Q35" s="56" t="str">
        <f>_xlfn.XLOOKUP(
    C35 &amp; "|" &amp; D35 &amp; "|" &amp; E35,
    단가표!$Q$2:$Q$387,
    단가표!$L$2:$L$387,
    "0"
)</f>
        <v>0</v>
      </c>
      <c r="R35" s="56" t="str">
        <f>_xlfn.XLOOKUP(
    C35 &amp; "|" &amp; D35 &amp; "|" &amp; E35,
    단가표!$Q$2:$Q$387,
    단가표!$M$2:$M$387,
    "0"
)</f>
        <v>0</v>
      </c>
      <c r="S35" s="56">
        <f t="shared" si="7"/>
        <v>0</v>
      </c>
      <c r="T35" s="106">
        <f>_xlfn.XLOOKUP(
    C35 &amp; "|" &amp; D35 &amp; "|" &amp; E35,
    단가표!$Q$2:$Q$387,
    단가표!$E$2:$E$387,
    0
)</f>
        <v>0</v>
      </c>
      <c r="U35" s="105">
        <f t="shared" si="8"/>
        <v>0</v>
      </c>
      <c r="V35" s="83">
        <f>_xlfn.XLOOKUP(
    C35 &amp; "|" &amp; D35 &amp; "|" &amp; E35,
    단가표!$Q$2:$Q$387,
    단가표!$G$2:$G$387,
    0
)</f>
        <v>0</v>
      </c>
      <c r="W35" s="83">
        <f t="shared" si="9"/>
        <v>0</v>
      </c>
      <c r="X35" s="83">
        <f t="shared" si="10"/>
        <v>0</v>
      </c>
      <c r="Y35" s="37">
        <f t="shared" si="11"/>
        <v>0</v>
      </c>
    </row>
    <row r="36" spans="2:25" ht="26.45" customHeight="1">
      <c r="B36" s="35">
        <f t="shared" si="5"/>
        <v>24</v>
      </c>
      <c r="C36" s="43"/>
      <c r="D36" s="43"/>
      <c r="E36" s="44"/>
      <c r="F36" s="396"/>
      <c r="G36" s="39"/>
      <c r="H36" s="39"/>
      <c r="I36" s="356"/>
      <c r="J36" s="38"/>
      <c r="K36" s="56" t="str">
        <f>IF(V36=0,
    "판매가 없음",
    _xlfn.XLOOKUP(
        C36 &amp; "|" &amp; D36 &amp; "|" &amp; E36,
        단가표!$Q$2:$Q$387,
        단가표!$O$2:$O$387,
        "0"
    )
)</f>
        <v>판매가 없음</v>
      </c>
      <c r="L36" s="69">
        <f>_xlfn.XLOOKUP(
    C36 &amp; "|" &amp; D36 &amp; "|" &amp; E36,
    단가표!$Q$2:$Q$387,
    단가표!$I$2:$I$387,
   0
)</f>
        <v>0</v>
      </c>
      <c r="M36" s="379">
        <f>_xlfn.XLOOKUP(
    C36 &amp; "|" &amp; D36 &amp; "|" &amp; E36,
    단가표!$Q$2:$Q$387,
    단가표!$J$2:$J$387,
   0
)</f>
        <v>0</v>
      </c>
      <c r="N36" s="69">
        <f>_xlfn.XLOOKUP(
    C36 &amp; "|" &amp; D36 &amp; "|" &amp; E36,
    단가표!$Q$2:$Q$387,
    단가표!$K$2:$K$387,
   0
)</f>
        <v>0</v>
      </c>
      <c r="O36" s="56">
        <f t="shared" si="6"/>
        <v>0</v>
      </c>
      <c r="P36" s="56" t="str">
        <f>_xlfn.XLOOKUP(
    C36 &amp; "|" &amp; D36 &amp; "|" &amp; E36,
    단가표!$Q$2:$Q$387,
    단가표!$H$2:$H$387,
    "차열재 없음"
)</f>
        <v>차열재 없음</v>
      </c>
      <c r="Q36" s="56" t="str">
        <f>_xlfn.XLOOKUP(
    C36 &amp; "|" &amp; D36 &amp; "|" &amp; E36,
    단가표!$Q$2:$Q$387,
    단가표!$L$2:$L$387,
    "0"
)</f>
        <v>0</v>
      </c>
      <c r="R36" s="56" t="str">
        <f>_xlfn.XLOOKUP(
    C36 &amp; "|" &amp; D36 &amp; "|" &amp; E36,
    단가표!$Q$2:$Q$387,
    단가표!$M$2:$M$387,
    "0"
)</f>
        <v>0</v>
      </c>
      <c r="S36" s="56">
        <f t="shared" si="7"/>
        <v>0</v>
      </c>
      <c r="T36" s="106">
        <f>_xlfn.XLOOKUP(
    C36 &amp; "|" &amp; D36 &amp; "|" &amp; E36,
    단가표!$Q$2:$Q$387,
    단가표!$E$2:$E$387,
    0
)</f>
        <v>0</v>
      </c>
      <c r="U36" s="105">
        <f t="shared" si="8"/>
        <v>0</v>
      </c>
      <c r="V36" s="83">
        <f>_xlfn.XLOOKUP(
    C36 &amp; "|" &amp; D36 &amp; "|" &amp; E36,
    단가표!$Q$2:$Q$387,
    단가표!$G$2:$G$387,
    0
)</f>
        <v>0</v>
      </c>
      <c r="W36" s="83">
        <f t="shared" si="9"/>
        <v>0</v>
      </c>
      <c r="X36" s="83">
        <f t="shared" si="10"/>
        <v>0</v>
      </c>
      <c r="Y36" s="37">
        <f t="shared" si="11"/>
        <v>0</v>
      </c>
    </row>
    <row r="37" spans="2:25" ht="26.45" customHeight="1">
      <c r="B37" s="35">
        <f t="shared" si="5"/>
        <v>25</v>
      </c>
      <c r="C37" s="43"/>
      <c r="D37" s="43"/>
      <c r="E37" s="44"/>
      <c r="F37" s="396"/>
      <c r="G37" s="39"/>
      <c r="H37" s="39"/>
      <c r="I37" s="356"/>
      <c r="J37" s="38"/>
      <c r="K37" s="56" t="str">
        <f>IF(V37=0,
    "판매가 없음",
    _xlfn.XLOOKUP(
        C37 &amp; "|" &amp; D37 &amp; "|" &amp; E37,
        단가표!$Q$2:$Q$387,
        단가표!$O$2:$O$387,
        "0"
    )
)</f>
        <v>판매가 없음</v>
      </c>
      <c r="L37" s="69">
        <f>_xlfn.XLOOKUP(
    C37 &amp; "|" &amp; D37 &amp; "|" &amp; E37,
    단가표!$Q$2:$Q$387,
    단가표!$I$2:$I$387,
   0
)</f>
        <v>0</v>
      </c>
      <c r="M37" s="379">
        <f>_xlfn.XLOOKUP(
    C37 &amp; "|" &amp; D37 &amp; "|" &amp; E37,
    단가표!$Q$2:$Q$387,
    단가표!$J$2:$J$387,
   0
)</f>
        <v>0</v>
      </c>
      <c r="N37" s="69">
        <f>_xlfn.XLOOKUP(
    C37 &amp; "|" &amp; D37 &amp; "|" &amp; E37,
    단가표!$Q$2:$Q$387,
    단가표!$K$2:$K$387,
   0
)</f>
        <v>0</v>
      </c>
      <c r="O37" s="56">
        <f t="shared" si="6"/>
        <v>0</v>
      </c>
      <c r="P37" s="56" t="str">
        <f>_xlfn.XLOOKUP(
    C37 &amp; "|" &amp; D37 &amp; "|" &amp; E37,
    단가표!$Q$2:$Q$387,
    단가표!$H$2:$H$387,
    "차열재 없음"
)</f>
        <v>차열재 없음</v>
      </c>
      <c r="Q37" s="56" t="str">
        <f>_xlfn.XLOOKUP(
    C37 &amp; "|" &amp; D37 &amp; "|" &amp; E37,
    단가표!$Q$2:$Q$387,
    단가표!$L$2:$L$387,
    "0"
)</f>
        <v>0</v>
      </c>
      <c r="R37" s="56" t="str">
        <f>_xlfn.XLOOKUP(
    C37 &amp; "|" &amp; D37 &amp; "|" &amp; E37,
    단가표!$Q$2:$Q$387,
    단가표!$M$2:$M$387,
    "0"
)</f>
        <v>0</v>
      </c>
      <c r="S37" s="56">
        <f t="shared" si="7"/>
        <v>0</v>
      </c>
      <c r="T37" s="106">
        <f>_xlfn.XLOOKUP(
    C37 &amp; "|" &amp; D37 &amp; "|" &amp; E37,
    단가표!$Q$2:$Q$387,
    단가표!$E$2:$E$387,
    0
)</f>
        <v>0</v>
      </c>
      <c r="U37" s="105">
        <f t="shared" si="8"/>
        <v>0</v>
      </c>
      <c r="V37" s="83">
        <f>_xlfn.XLOOKUP(
    C37 &amp; "|" &amp; D37 &amp; "|" &amp; E37,
    단가표!$Q$2:$Q$387,
    단가표!$G$2:$G$387,
    0
)</f>
        <v>0</v>
      </c>
      <c r="W37" s="83">
        <f t="shared" si="9"/>
        <v>0</v>
      </c>
      <c r="X37" s="83">
        <f t="shared" si="10"/>
        <v>0</v>
      </c>
      <c r="Y37" s="37">
        <f t="shared" si="11"/>
        <v>0</v>
      </c>
    </row>
    <row r="38" spans="2:25" ht="26.45" customHeight="1">
      <c r="B38" s="35">
        <f t="shared" si="5"/>
        <v>26</v>
      </c>
      <c r="C38" s="43"/>
      <c r="D38" s="43"/>
      <c r="E38" s="44"/>
      <c r="F38" s="396"/>
      <c r="G38" s="39"/>
      <c r="H38" s="39"/>
      <c r="I38" s="356"/>
      <c r="J38" s="38"/>
      <c r="K38" s="56" t="str">
        <f>IF(V38=0,
    "판매가 없음",
    _xlfn.XLOOKUP(
        C38 &amp; "|" &amp; D38 &amp; "|" &amp; E38,
        단가표!$Q$2:$Q$387,
        단가표!$O$2:$O$387,
        "0"
    )
)</f>
        <v>판매가 없음</v>
      </c>
      <c r="L38" s="69">
        <f>_xlfn.XLOOKUP(
    C38 &amp; "|" &amp; D38 &amp; "|" &amp; E38,
    단가표!$Q$2:$Q$387,
    단가표!$I$2:$I$387,
   0
)</f>
        <v>0</v>
      </c>
      <c r="M38" s="379">
        <f>_xlfn.XLOOKUP(
    C38 &amp; "|" &amp; D38 &amp; "|" &amp; E38,
    단가표!$Q$2:$Q$387,
    단가표!$J$2:$J$387,
   0
)</f>
        <v>0</v>
      </c>
      <c r="N38" s="69">
        <f>_xlfn.XLOOKUP(
    C38 &amp; "|" &amp; D38 &amp; "|" &amp; E38,
    단가표!$Q$2:$Q$387,
    단가표!$K$2:$K$387,
   0
)</f>
        <v>0</v>
      </c>
      <c r="O38" s="56">
        <f t="shared" si="6"/>
        <v>0</v>
      </c>
      <c r="P38" s="56" t="str">
        <f>_xlfn.XLOOKUP(
    C38 &amp; "|" &amp; D38 &amp; "|" &amp; E38,
    단가표!$Q$2:$Q$387,
    단가표!$H$2:$H$387,
    "차열재 없음"
)</f>
        <v>차열재 없음</v>
      </c>
      <c r="Q38" s="56" t="str">
        <f>_xlfn.XLOOKUP(
    C38 &amp; "|" &amp; D38 &amp; "|" &amp; E38,
    단가표!$Q$2:$Q$387,
    단가표!$L$2:$L$387,
    "0"
)</f>
        <v>0</v>
      </c>
      <c r="R38" s="56" t="str">
        <f>_xlfn.XLOOKUP(
    C38 &amp; "|" &amp; D38 &amp; "|" &amp; E38,
    단가표!$Q$2:$Q$387,
    단가표!$M$2:$M$387,
    "0"
)</f>
        <v>0</v>
      </c>
      <c r="S38" s="56">
        <f t="shared" si="7"/>
        <v>0</v>
      </c>
      <c r="T38" s="106">
        <f>_xlfn.XLOOKUP(
    C38 &amp; "|" &amp; D38 &amp; "|" &amp; E38,
    단가표!$Q$2:$Q$387,
    단가표!$E$2:$E$387,
    0
)</f>
        <v>0</v>
      </c>
      <c r="U38" s="105">
        <f t="shared" si="8"/>
        <v>0</v>
      </c>
      <c r="V38" s="83">
        <f>_xlfn.XLOOKUP(
    C38 &amp; "|" &amp; D38 &amp; "|" &amp; E38,
    단가표!$Q$2:$Q$387,
    단가표!$G$2:$G$387,
    0
)</f>
        <v>0</v>
      </c>
      <c r="W38" s="83">
        <f t="shared" si="9"/>
        <v>0</v>
      </c>
      <c r="X38" s="83">
        <f t="shared" si="10"/>
        <v>0</v>
      </c>
      <c r="Y38" s="37">
        <f t="shared" si="11"/>
        <v>0</v>
      </c>
    </row>
    <row r="39" spans="2:25" ht="26.45" customHeight="1">
      <c r="B39" s="35">
        <f t="shared" si="5"/>
        <v>27</v>
      </c>
      <c r="C39" s="43"/>
      <c r="D39" s="43"/>
      <c r="E39" s="44"/>
      <c r="F39" s="396"/>
      <c r="G39" s="39"/>
      <c r="H39" s="39"/>
      <c r="I39" s="356"/>
      <c r="J39" s="38"/>
      <c r="K39" s="56" t="str">
        <f>IF(V39=0,
    "판매가 없음",
    _xlfn.XLOOKUP(
        C39 &amp; "|" &amp; D39 &amp; "|" &amp; E39,
        단가표!$Q$2:$Q$387,
        단가표!$O$2:$O$387,
        "0"
    )
)</f>
        <v>판매가 없음</v>
      </c>
      <c r="L39" s="69">
        <f>_xlfn.XLOOKUP(
    C39 &amp; "|" &amp; D39 &amp; "|" &amp; E39,
    단가표!$Q$2:$Q$387,
    단가표!$I$2:$I$387,
   0
)</f>
        <v>0</v>
      </c>
      <c r="M39" s="379">
        <f>_xlfn.XLOOKUP(
    C39 &amp; "|" &amp; D39 &amp; "|" &amp; E39,
    단가표!$Q$2:$Q$387,
    단가표!$J$2:$J$387,
   0
)</f>
        <v>0</v>
      </c>
      <c r="N39" s="69">
        <f>_xlfn.XLOOKUP(
    C39 &amp; "|" &amp; D39 &amp; "|" &amp; E39,
    단가표!$Q$2:$Q$387,
    단가표!$K$2:$K$387,
   0
)</f>
        <v>0</v>
      </c>
      <c r="O39" s="56">
        <f t="shared" si="6"/>
        <v>0</v>
      </c>
      <c r="P39" s="56" t="str">
        <f>_xlfn.XLOOKUP(
    C39 &amp; "|" &amp; D39 &amp; "|" &amp; E39,
    단가표!$Q$2:$Q$387,
    단가표!$H$2:$H$387,
    "차열재 없음"
)</f>
        <v>차열재 없음</v>
      </c>
      <c r="Q39" s="56" t="str">
        <f>_xlfn.XLOOKUP(
    C39 &amp; "|" &amp; D39 &amp; "|" &amp; E39,
    단가표!$Q$2:$Q$387,
    단가표!$L$2:$L$387,
    "0"
)</f>
        <v>0</v>
      </c>
      <c r="R39" s="56" t="str">
        <f>_xlfn.XLOOKUP(
    C39 &amp; "|" &amp; D39 &amp; "|" &amp; E39,
    단가표!$Q$2:$Q$387,
    단가표!$M$2:$M$387,
    "0"
)</f>
        <v>0</v>
      </c>
      <c r="S39" s="56">
        <f t="shared" si="7"/>
        <v>0</v>
      </c>
      <c r="T39" s="106">
        <f>_xlfn.XLOOKUP(
    C39 &amp; "|" &amp; D39 &amp; "|" &amp; E39,
    단가표!$Q$2:$Q$387,
    단가표!$E$2:$E$387,
    0
)</f>
        <v>0</v>
      </c>
      <c r="U39" s="105">
        <f t="shared" si="8"/>
        <v>0</v>
      </c>
      <c r="V39" s="83">
        <f>_xlfn.XLOOKUP(
    C39 &amp; "|" &amp; D39 &amp; "|" &amp; E39,
    단가표!$Q$2:$Q$387,
    단가표!$G$2:$G$387,
    0
)</f>
        <v>0</v>
      </c>
      <c r="W39" s="83">
        <f t="shared" si="9"/>
        <v>0</v>
      </c>
      <c r="X39" s="83">
        <f t="shared" si="10"/>
        <v>0</v>
      </c>
      <c r="Y39" s="37">
        <f t="shared" si="11"/>
        <v>0</v>
      </c>
    </row>
    <row r="40" spans="2:25" ht="26.45" customHeight="1">
      <c r="B40" s="35">
        <f t="shared" si="5"/>
        <v>28</v>
      </c>
      <c r="C40" s="43"/>
      <c r="D40" s="43"/>
      <c r="E40" s="44"/>
      <c r="F40" s="396"/>
      <c r="G40" s="39"/>
      <c r="H40" s="39"/>
      <c r="I40" s="356"/>
      <c r="J40" s="38"/>
      <c r="K40" s="56" t="str">
        <f>IF(V40=0,
    "판매가 없음",
    _xlfn.XLOOKUP(
        C40 &amp; "|" &amp; D40 &amp; "|" &amp; E40,
        단가표!$Q$2:$Q$387,
        단가표!$O$2:$O$387,
        "0"
    )
)</f>
        <v>판매가 없음</v>
      </c>
      <c r="L40" s="69">
        <f>_xlfn.XLOOKUP(
    C40 &amp; "|" &amp; D40 &amp; "|" &amp; E40,
    단가표!$Q$2:$Q$387,
    단가표!$I$2:$I$387,
   0
)</f>
        <v>0</v>
      </c>
      <c r="M40" s="379">
        <f>_xlfn.XLOOKUP(
    C40 &amp; "|" &amp; D40 &amp; "|" &amp; E40,
    단가표!$Q$2:$Q$387,
    단가표!$J$2:$J$387,
   0
)</f>
        <v>0</v>
      </c>
      <c r="N40" s="69">
        <f>_xlfn.XLOOKUP(
    C40 &amp; "|" &amp; D40 &amp; "|" &amp; E40,
    단가표!$Q$2:$Q$387,
    단가표!$K$2:$K$387,
   0
)</f>
        <v>0</v>
      </c>
      <c r="O40" s="56">
        <f t="shared" si="6"/>
        <v>0</v>
      </c>
      <c r="P40" s="56" t="str">
        <f>_xlfn.XLOOKUP(
    C40 &amp; "|" &amp; D40 &amp; "|" &amp; E40,
    단가표!$Q$2:$Q$387,
    단가표!$H$2:$H$387,
    "차열재 없음"
)</f>
        <v>차열재 없음</v>
      </c>
      <c r="Q40" s="56" t="str">
        <f>_xlfn.XLOOKUP(
    C40 &amp; "|" &amp; D40 &amp; "|" &amp; E40,
    단가표!$Q$2:$Q$387,
    단가표!$L$2:$L$387,
    "0"
)</f>
        <v>0</v>
      </c>
      <c r="R40" s="56" t="str">
        <f>_xlfn.XLOOKUP(
    C40 &amp; "|" &amp; D40 &amp; "|" &amp; E40,
    단가표!$Q$2:$Q$387,
    단가표!$M$2:$M$387,
    "0"
)</f>
        <v>0</v>
      </c>
      <c r="S40" s="56">
        <f t="shared" si="7"/>
        <v>0</v>
      </c>
      <c r="T40" s="106">
        <f>_xlfn.XLOOKUP(
    C40 &amp; "|" &amp; D40 &amp; "|" &amp; E40,
    단가표!$Q$2:$Q$387,
    단가표!$E$2:$E$387,
    0
)</f>
        <v>0</v>
      </c>
      <c r="U40" s="105">
        <f t="shared" si="8"/>
        <v>0</v>
      </c>
      <c r="V40" s="83">
        <f>_xlfn.XLOOKUP(
    C40 &amp; "|" &amp; D40 &amp; "|" &amp; E40,
    단가표!$Q$2:$Q$387,
    단가표!$G$2:$G$387,
    0
)</f>
        <v>0</v>
      </c>
      <c r="W40" s="83">
        <f t="shared" si="9"/>
        <v>0</v>
      </c>
      <c r="X40" s="83">
        <f t="shared" si="10"/>
        <v>0</v>
      </c>
      <c r="Y40" s="37">
        <f t="shared" si="11"/>
        <v>0</v>
      </c>
    </row>
    <row r="41" spans="2:25" ht="26.45" customHeight="1">
      <c r="B41" s="35">
        <f t="shared" si="5"/>
        <v>29</v>
      </c>
      <c r="C41" s="43"/>
      <c r="D41" s="43"/>
      <c r="E41" s="44"/>
      <c r="F41" s="396"/>
      <c r="G41" s="39"/>
      <c r="H41" s="39"/>
      <c r="I41" s="356"/>
      <c r="J41" s="38"/>
      <c r="K41" s="56" t="str">
        <f>IF(V41=0,
    "판매가 없음",
    _xlfn.XLOOKUP(
        C41 &amp; "|" &amp; D41 &amp; "|" &amp; E41,
        단가표!$Q$2:$Q$387,
        단가표!$O$2:$O$387,
        "0"
    )
)</f>
        <v>판매가 없음</v>
      </c>
      <c r="L41" s="69">
        <f>_xlfn.XLOOKUP(
    C41 &amp; "|" &amp; D41 &amp; "|" &amp; E41,
    단가표!$Q$2:$Q$387,
    단가표!$I$2:$I$387,
   0
)</f>
        <v>0</v>
      </c>
      <c r="M41" s="379">
        <f>_xlfn.XLOOKUP(
    C41 &amp; "|" &amp; D41 &amp; "|" &amp; E41,
    단가표!$Q$2:$Q$387,
    단가표!$J$2:$J$387,
   0
)</f>
        <v>0</v>
      </c>
      <c r="N41" s="69">
        <f>_xlfn.XLOOKUP(
    C41 &amp; "|" &amp; D41 &amp; "|" &amp; E41,
    단가표!$Q$2:$Q$387,
    단가표!$K$2:$K$387,
   0
)</f>
        <v>0</v>
      </c>
      <c r="O41" s="56">
        <f t="shared" si="6"/>
        <v>0</v>
      </c>
      <c r="P41" s="56" t="str">
        <f>_xlfn.XLOOKUP(
    C41 &amp; "|" &amp; D41 &amp; "|" &amp; E41,
    단가표!$Q$2:$Q$387,
    단가표!$H$2:$H$387,
    "차열재 없음"
)</f>
        <v>차열재 없음</v>
      </c>
      <c r="Q41" s="56" t="str">
        <f>_xlfn.XLOOKUP(
    C41 &amp; "|" &amp; D41 &amp; "|" &amp; E41,
    단가표!$Q$2:$Q$387,
    단가표!$L$2:$L$387,
    "0"
)</f>
        <v>0</v>
      </c>
      <c r="R41" s="56" t="str">
        <f>_xlfn.XLOOKUP(
    C41 &amp; "|" &amp; D41 &amp; "|" &amp; E41,
    단가표!$Q$2:$Q$387,
    단가표!$M$2:$M$387,
    "0"
)</f>
        <v>0</v>
      </c>
      <c r="S41" s="56">
        <f t="shared" si="7"/>
        <v>0</v>
      </c>
      <c r="T41" s="106">
        <f>_xlfn.XLOOKUP(
    C41 &amp; "|" &amp; D41 &amp; "|" &amp; E41,
    단가표!$Q$2:$Q$387,
    단가표!$E$2:$E$387,
    0
)</f>
        <v>0</v>
      </c>
      <c r="U41" s="105">
        <f t="shared" si="8"/>
        <v>0</v>
      </c>
      <c r="V41" s="83">
        <f>_xlfn.XLOOKUP(
    C41 &amp; "|" &amp; D41 &amp; "|" &amp; E41,
    단가표!$Q$2:$Q$387,
    단가표!$G$2:$G$387,
    0
)</f>
        <v>0</v>
      </c>
      <c r="W41" s="83">
        <f t="shared" si="9"/>
        <v>0</v>
      </c>
      <c r="X41" s="83">
        <f t="shared" si="10"/>
        <v>0</v>
      </c>
      <c r="Y41" s="37">
        <f t="shared" si="11"/>
        <v>0</v>
      </c>
    </row>
    <row r="42" spans="2:25" ht="26.45" customHeight="1">
      <c r="B42" s="35">
        <f t="shared" si="5"/>
        <v>30</v>
      </c>
      <c r="C42" s="43"/>
      <c r="D42" s="43"/>
      <c r="E42" s="44"/>
      <c r="F42" s="396"/>
      <c r="G42" s="39"/>
      <c r="H42" s="39"/>
      <c r="I42" s="356"/>
      <c r="J42" s="38"/>
      <c r="K42" s="56" t="str">
        <f>IF(V42=0,
    "판매가 없음",
    _xlfn.XLOOKUP(
        C42 &amp; "|" &amp; D42 &amp; "|" &amp; E42,
        단가표!$Q$2:$Q$387,
        단가표!$O$2:$O$387,
        "0"
    )
)</f>
        <v>판매가 없음</v>
      </c>
      <c r="L42" s="69">
        <f>_xlfn.XLOOKUP(
    C42 &amp; "|" &amp; D42 &amp; "|" &amp; E42,
    단가표!$Q$2:$Q$387,
    단가표!$I$2:$I$387,
   0
)</f>
        <v>0</v>
      </c>
      <c r="M42" s="379">
        <f>_xlfn.XLOOKUP(
    C42 &amp; "|" &amp; D42 &amp; "|" &amp; E42,
    단가표!$Q$2:$Q$387,
    단가표!$J$2:$J$387,
   0
)</f>
        <v>0</v>
      </c>
      <c r="N42" s="69">
        <f>_xlfn.XLOOKUP(
    C42 &amp; "|" &amp; D42 &amp; "|" &amp; E42,
    단가표!$Q$2:$Q$387,
    단가표!$K$2:$K$387,
   0
)</f>
        <v>0</v>
      </c>
      <c r="O42" s="56">
        <f t="shared" si="6"/>
        <v>0</v>
      </c>
      <c r="P42" s="56" t="str">
        <f>_xlfn.XLOOKUP(
    C42 &amp; "|" &amp; D42 &amp; "|" &amp; E42,
    단가표!$Q$2:$Q$387,
    단가표!$H$2:$H$387,
    "차열재 없음"
)</f>
        <v>차열재 없음</v>
      </c>
      <c r="Q42" s="56" t="str">
        <f>_xlfn.XLOOKUP(
    C42 &amp; "|" &amp; D42 &amp; "|" &amp; E42,
    단가표!$Q$2:$Q$387,
    단가표!$L$2:$L$387,
    "0"
)</f>
        <v>0</v>
      </c>
      <c r="R42" s="56" t="str">
        <f>_xlfn.XLOOKUP(
    C42 &amp; "|" &amp; D42 &amp; "|" &amp; E42,
    단가표!$Q$2:$Q$387,
    단가표!$M$2:$M$387,
    "0"
)</f>
        <v>0</v>
      </c>
      <c r="S42" s="56">
        <f t="shared" si="7"/>
        <v>0</v>
      </c>
      <c r="T42" s="106">
        <f>_xlfn.XLOOKUP(
    C42 &amp; "|" &amp; D42 &amp; "|" &amp; E42,
    단가표!$Q$2:$Q$387,
    단가표!$E$2:$E$387,
    0
)</f>
        <v>0</v>
      </c>
      <c r="U42" s="105">
        <f t="shared" si="8"/>
        <v>0</v>
      </c>
      <c r="V42" s="83">
        <f>_xlfn.XLOOKUP(
    C42 &amp; "|" &amp; D42 &amp; "|" &amp; E42,
    단가표!$Q$2:$Q$387,
    단가표!$G$2:$G$387,
    0
)</f>
        <v>0</v>
      </c>
      <c r="W42" s="83">
        <f t="shared" si="9"/>
        <v>0</v>
      </c>
      <c r="X42" s="83">
        <f t="shared" si="10"/>
        <v>0</v>
      </c>
      <c r="Y42" s="37">
        <f t="shared" si="11"/>
        <v>0</v>
      </c>
    </row>
    <row r="43" spans="2:25" ht="26.45" customHeight="1">
      <c r="B43" s="35">
        <f t="shared" si="5"/>
        <v>31</v>
      </c>
      <c r="C43" s="43"/>
      <c r="D43" s="43"/>
      <c r="E43" s="44"/>
      <c r="F43" s="396"/>
      <c r="G43" s="39"/>
      <c r="H43" s="39"/>
      <c r="I43" s="356"/>
      <c r="J43" s="38"/>
      <c r="K43" s="56" t="str">
        <f>IF(V43=0,
    "판매가 없음",
    _xlfn.XLOOKUP(
        C43 &amp; "|" &amp; D43 &amp; "|" &amp; E43,
        단가표!$Q$2:$Q$387,
        단가표!$O$2:$O$387,
        "0"
    )
)</f>
        <v>판매가 없음</v>
      </c>
      <c r="L43" s="69">
        <f>_xlfn.XLOOKUP(
    C43 &amp; "|" &amp; D43 &amp; "|" &amp; E43,
    단가표!$Q$2:$Q$387,
    단가표!$I$2:$I$387,
   0
)</f>
        <v>0</v>
      </c>
      <c r="M43" s="379">
        <f>_xlfn.XLOOKUP(
    C43 &amp; "|" &amp; D43 &amp; "|" &amp; E43,
    단가표!$Q$2:$Q$387,
    단가표!$J$2:$J$387,
   0
)</f>
        <v>0</v>
      </c>
      <c r="N43" s="69">
        <f>_xlfn.XLOOKUP(
    C43 &amp; "|" &amp; D43 &amp; "|" &amp; E43,
    단가표!$Q$2:$Q$387,
    단가표!$K$2:$K$387,
   0
)</f>
        <v>0</v>
      </c>
      <c r="O43" s="56">
        <f t="shared" si="6"/>
        <v>0</v>
      </c>
      <c r="P43" s="56" t="str">
        <f>_xlfn.XLOOKUP(
    C43 &amp; "|" &amp; D43 &amp; "|" &amp; E43,
    단가표!$Q$2:$Q$387,
    단가표!$H$2:$H$387,
    "차열재 없음"
)</f>
        <v>차열재 없음</v>
      </c>
      <c r="Q43" s="56" t="str">
        <f>_xlfn.XLOOKUP(
    C43 &amp; "|" &amp; D43 &amp; "|" &amp; E43,
    단가표!$Q$2:$Q$387,
    단가표!$L$2:$L$387,
    "0"
)</f>
        <v>0</v>
      </c>
      <c r="R43" s="56" t="str">
        <f>_xlfn.XLOOKUP(
    C43 &amp; "|" &amp; D43 &amp; "|" &amp; E43,
    단가표!$Q$2:$Q$387,
    단가표!$M$2:$M$387,
    "0"
)</f>
        <v>0</v>
      </c>
      <c r="S43" s="56">
        <f t="shared" si="7"/>
        <v>0</v>
      </c>
      <c r="T43" s="106">
        <f>_xlfn.XLOOKUP(
    C43 &amp; "|" &amp; D43 &amp; "|" &amp; E43,
    단가표!$Q$2:$Q$387,
    단가표!$E$2:$E$387,
    0
)</f>
        <v>0</v>
      </c>
      <c r="U43" s="105">
        <f t="shared" si="8"/>
        <v>0</v>
      </c>
      <c r="V43" s="83">
        <f>_xlfn.XLOOKUP(
    C43 &amp; "|" &amp; D43 &amp; "|" &amp; E43,
    단가표!$Q$2:$Q$387,
    단가표!$G$2:$G$387,
    0
)</f>
        <v>0</v>
      </c>
      <c r="W43" s="83">
        <f t="shared" si="9"/>
        <v>0</v>
      </c>
      <c r="X43" s="83">
        <f t="shared" si="10"/>
        <v>0</v>
      </c>
      <c r="Y43" s="37">
        <f t="shared" si="11"/>
        <v>0</v>
      </c>
    </row>
    <row r="44" spans="2:25" ht="26.45" customHeight="1">
      <c r="B44" s="35">
        <f t="shared" si="5"/>
        <v>32</v>
      </c>
      <c r="C44" s="43"/>
      <c r="D44" s="43"/>
      <c r="E44" s="44"/>
      <c r="F44" s="396"/>
      <c r="G44" s="39"/>
      <c r="H44" s="39"/>
      <c r="I44" s="356"/>
      <c r="J44" s="38"/>
      <c r="K44" s="56" t="str">
        <f>IF(V44=0,
    "판매가 없음",
    _xlfn.XLOOKUP(
        C44 &amp; "|" &amp; D44 &amp; "|" &amp; E44,
        단가표!$Q$2:$Q$387,
        단가표!$O$2:$O$387,
        "0"
    )
)</f>
        <v>판매가 없음</v>
      </c>
      <c r="L44" s="69">
        <f>_xlfn.XLOOKUP(
    C44 &amp; "|" &amp; D44 &amp; "|" &amp; E44,
    단가표!$Q$2:$Q$387,
    단가표!$I$2:$I$387,
   0
)</f>
        <v>0</v>
      </c>
      <c r="M44" s="379">
        <f>_xlfn.XLOOKUP(
    C44 &amp; "|" &amp; D44 &amp; "|" &amp; E44,
    단가표!$Q$2:$Q$387,
    단가표!$J$2:$J$387,
   0
)</f>
        <v>0</v>
      </c>
      <c r="N44" s="69">
        <f>_xlfn.XLOOKUP(
    C44 &amp; "|" &amp; D44 &amp; "|" &amp; E44,
    단가표!$Q$2:$Q$387,
    단가표!$K$2:$K$387,
   0
)</f>
        <v>0</v>
      </c>
      <c r="O44" s="56">
        <f t="shared" si="6"/>
        <v>0</v>
      </c>
      <c r="P44" s="56" t="str">
        <f>_xlfn.XLOOKUP(
    C44 &amp; "|" &amp; D44 &amp; "|" &amp; E44,
    단가표!$Q$2:$Q$387,
    단가표!$H$2:$H$387,
    "차열재 없음"
)</f>
        <v>차열재 없음</v>
      </c>
      <c r="Q44" s="56" t="str">
        <f>_xlfn.XLOOKUP(
    C44 &amp; "|" &amp; D44 &amp; "|" &amp; E44,
    단가표!$Q$2:$Q$387,
    단가표!$L$2:$L$387,
    "0"
)</f>
        <v>0</v>
      </c>
      <c r="R44" s="56" t="str">
        <f>_xlfn.XLOOKUP(
    C44 &amp; "|" &amp; D44 &amp; "|" &amp; E44,
    단가표!$Q$2:$Q$387,
    단가표!$M$2:$M$387,
    "0"
)</f>
        <v>0</v>
      </c>
      <c r="S44" s="56">
        <f t="shared" si="7"/>
        <v>0</v>
      </c>
      <c r="T44" s="106">
        <f>_xlfn.XLOOKUP(
    C44 &amp; "|" &amp; D44 &amp; "|" &amp; E44,
    단가표!$Q$2:$Q$387,
    단가표!$E$2:$E$387,
    0
)</f>
        <v>0</v>
      </c>
      <c r="U44" s="105">
        <f t="shared" si="8"/>
        <v>0</v>
      </c>
      <c r="V44" s="83">
        <f>_xlfn.XLOOKUP(
    C44 &amp; "|" &amp; D44 &amp; "|" &amp; E44,
    단가표!$Q$2:$Q$387,
    단가표!$G$2:$G$387,
    0
)</f>
        <v>0</v>
      </c>
      <c r="W44" s="83">
        <f t="shared" si="9"/>
        <v>0</v>
      </c>
      <c r="X44" s="83">
        <f t="shared" si="10"/>
        <v>0</v>
      </c>
      <c r="Y44" s="37">
        <f t="shared" si="11"/>
        <v>0</v>
      </c>
    </row>
    <row r="45" spans="2:25" ht="26.45" customHeight="1">
      <c r="B45" s="35">
        <f t="shared" si="5"/>
        <v>33</v>
      </c>
      <c r="C45" s="43"/>
      <c r="D45" s="43"/>
      <c r="E45" s="44"/>
      <c r="F45" s="396"/>
      <c r="G45" s="39"/>
      <c r="H45" s="39"/>
      <c r="I45" s="356"/>
      <c r="J45" s="38"/>
      <c r="K45" s="56" t="str">
        <f>IF(V45=0,
    "판매가 없음",
    _xlfn.XLOOKUP(
        C45 &amp; "|" &amp; D45 &amp; "|" &amp; E45,
        단가표!$Q$2:$Q$387,
        단가표!$O$2:$O$387,
        "0"
    )
)</f>
        <v>판매가 없음</v>
      </c>
      <c r="L45" s="69">
        <f>_xlfn.XLOOKUP(
    C45 &amp; "|" &amp; D45 &amp; "|" &amp; E45,
    단가표!$Q$2:$Q$387,
    단가표!$I$2:$I$387,
   0
)</f>
        <v>0</v>
      </c>
      <c r="M45" s="379">
        <f>_xlfn.XLOOKUP(
    C45 &amp; "|" &amp; D45 &amp; "|" &amp; E45,
    단가표!$Q$2:$Q$387,
    단가표!$J$2:$J$387,
   0
)</f>
        <v>0</v>
      </c>
      <c r="N45" s="69">
        <f>_xlfn.XLOOKUP(
    C45 &amp; "|" &amp; D45 &amp; "|" &amp; E45,
    단가표!$Q$2:$Q$387,
    단가표!$K$2:$K$387,
   0
)</f>
        <v>0</v>
      </c>
      <c r="O45" s="56">
        <f t="shared" si="6"/>
        <v>0</v>
      </c>
      <c r="P45" s="56" t="str">
        <f>_xlfn.XLOOKUP(
    C45 &amp; "|" &amp; D45 &amp; "|" &amp; E45,
    단가표!$Q$2:$Q$387,
    단가표!$H$2:$H$387,
    "차열재 없음"
)</f>
        <v>차열재 없음</v>
      </c>
      <c r="Q45" s="56" t="str">
        <f>_xlfn.XLOOKUP(
    C45 &amp; "|" &amp; D45 &amp; "|" &amp; E45,
    단가표!$Q$2:$Q$387,
    단가표!$L$2:$L$387,
    "0"
)</f>
        <v>0</v>
      </c>
      <c r="R45" s="56" t="str">
        <f>_xlfn.XLOOKUP(
    C45 &amp; "|" &amp; D45 &amp; "|" &amp; E45,
    단가표!$Q$2:$Q$387,
    단가표!$M$2:$M$387,
    "0"
)</f>
        <v>0</v>
      </c>
      <c r="S45" s="56">
        <f t="shared" si="7"/>
        <v>0</v>
      </c>
      <c r="T45" s="106">
        <f>_xlfn.XLOOKUP(
    C45 &amp; "|" &amp; D45 &amp; "|" &amp; E45,
    단가표!$Q$2:$Q$387,
    단가표!$E$2:$E$387,
    0
)</f>
        <v>0</v>
      </c>
      <c r="U45" s="105">
        <f t="shared" si="8"/>
        <v>0</v>
      </c>
      <c r="V45" s="83">
        <f>_xlfn.XLOOKUP(
    C45 &amp; "|" &amp; D45 &amp; "|" &amp; E45,
    단가표!$Q$2:$Q$387,
    단가표!$G$2:$G$387,
    0
)</f>
        <v>0</v>
      </c>
      <c r="W45" s="83">
        <f t="shared" si="9"/>
        <v>0</v>
      </c>
      <c r="X45" s="83">
        <f t="shared" si="10"/>
        <v>0</v>
      </c>
      <c r="Y45" s="37">
        <f t="shared" si="11"/>
        <v>0</v>
      </c>
    </row>
    <row r="46" spans="2:25" ht="26.45" customHeight="1">
      <c r="B46" s="35">
        <f t="shared" si="5"/>
        <v>34</v>
      </c>
      <c r="C46" s="43"/>
      <c r="D46" s="43"/>
      <c r="E46" s="44"/>
      <c r="F46" s="396"/>
      <c r="G46" s="39"/>
      <c r="H46" s="39"/>
      <c r="I46" s="356"/>
      <c r="J46" s="38"/>
      <c r="K46" s="56" t="str">
        <f>IF(V46=0,
    "판매가 없음",
    _xlfn.XLOOKUP(
        C46 &amp; "|" &amp; D46 &amp; "|" &amp; E46,
        단가표!$Q$2:$Q$387,
        단가표!$O$2:$O$387,
        "0"
    )
)</f>
        <v>판매가 없음</v>
      </c>
      <c r="L46" s="69">
        <f>_xlfn.XLOOKUP(
    C46 &amp; "|" &amp; D46 &amp; "|" &amp; E46,
    단가표!$Q$2:$Q$387,
    단가표!$I$2:$I$387,
   0
)</f>
        <v>0</v>
      </c>
      <c r="M46" s="379">
        <f>_xlfn.XLOOKUP(
    C46 &amp; "|" &amp; D46 &amp; "|" &amp; E46,
    단가표!$Q$2:$Q$387,
    단가표!$J$2:$J$387,
   0
)</f>
        <v>0</v>
      </c>
      <c r="N46" s="69">
        <f>_xlfn.XLOOKUP(
    C46 &amp; "|" &amp; D46 &amp; "|" &amp; E46,
    단가표!$Q$2:$Q$387,
    단가표!$K$2:$K$387,
   0
)</f>
        <v>0</v>
      </c>
      <c r="O46" s="56">
        <f t="shared" si="6"/>
        <v>0</v>
      </c>
      <c r="P46" s="56" t="str">
        <f>_xlfn.XLOOKUP(
    C46 &amp; "|" &amp; D46 &amp; "|" &amp; E46,
    단가표!$Q$2:$Q$387,
    단가표!$H$2:$H$387,
    "차열재 없음"
)</f>
        <v>차열재 없음</v>
      </c>
      <c r="Q46" s="56" t="str">
        <f>_xlfn.XLOOKUP(
    C46 &amp; "|" &amp; D46 &amp; "|" &amp; E46,
    단가표!$Q$2:$Q$387,
    단가표!$L$2:$L$387,
    "0"
)</f>
        <v>0</v>
      </c>
      <c r="R46" s="56" t="str">
        <f>_xlfn.XLOOKUP(
    C46 &amp; "|" &amp; D46 &amp; "|" &amp; E46,
    단가표!$Q$2:$Q$387,
    단가표!$M$2:$M$387,
    "0"
)</f>
        <v>0</v>
      </c>
      <c r="S46" s="56">
        <f t="shared" si="7"/>
        <v>0</v>
      </c>
      <c r="T46" s="106">
        <f>_xlfn.XLOOKUP(
    C46 &amp; "|" &amp; D46 &amp; "|" &amp; E46,
    단가표!$Q$2:$Q$387,
    단가표!$E$2:$E$387,
    0
)</f>
        <v>0</v>
      </c>
      <c r="U46" s="105">
        <f t="shared" si="8"/>
        <v>0</v>
      </c>
      <c r="V46" s="83">
        <f>_xlfn.XLOOKUP(
    C46 &amp; "|" &amp; D46 &amp; "|" &amp; E46,
    단가표!$Q$2:$Q$387,
    단가표!$G$2:$G$387,
    0
)</f>
        <v>0</v>
      </c>
      <c r="W46" s="83">
        <f t="shared" si="9"/>
        <v>0</v>
      </c>
      <c r="X46" s="83">
        <f t="shared" si="10"/>
        <v>0</v>
      </c>
      <c r="Y46" s="37">
        <f t="shared" si="11"/>
        <v>0</v>
      </c>
    </row>
    <row r="47" spans="2:25" ht="26.45" customHeight="1">
      <c r="B47" s="35">
        <f t="shared" si="5"/>
        <v>35</v>
      </c>
      <c r="C47" s="43"/>
      <c r="D47" s="43"/>
      <c r="E47" s="44"/>
      <c r="F47" s="396"/>
      <c r="G47" s="39"/>
      <c r="H47" s="39"/>
      <c r="I47" s="356"/>
      <c r="J47" s="38"/>
      <c r="K47" s="56" t="str">
        <f>IF(V47=0,
    "판매가 없음",
    _xlfn.XLOOKUP(
        C47 &amp; "|" &amp; D47 &amp; "|" &amp; E47,
        단가표!$Q$2:$Q$387,
        단가표!$O$2:$O$387,
        "0"
    )
)</f>
        <v>판매가 없음</v>
      </c>
      <c r="L47" s="69">
        <f>_xlfn.XLOOKUP(
    C47 &amp; "|" &amp; D47 &amp; "|" &amp; E47,
    단가표!$Q$2:$Q$387,
    단가표!$I$2:$I$387,
   0
)</f>
        <v>0</v>
      </c>
      <c r="M47" s="379">
        <f>_xlfn.XLOOKUP(
    C47 &amp; "|" &amp; D47 &amp; "|" &amp; E47,
    단가표!$Q$2:$Q$387,
    단가표!$J$2:$J$387,
   0
)</f>
        <v>0</v>
      </c>
      <c r="N47" s="69">
        <f>_xlfn.XLOOKUP(
    C47 &amp; "|" &amp; D47 &amp; "|" &amp; E47,
    단가표!$Q$2:$Q$387,
    단가표!$K$2:$K$387,
   0
)</f>
        <v>0</v>
      </c>
      <c r="O47" s="56">
        <f t="shared" si="6"/>
        <v>0</v>
      </c>
      <c r="P47" s="56" t="str">
        <f>_xlfn.XLOOKUP(
    C47 &amp; "|" &amp; D47 &amp; "|" &amp; E47,
    단가표!$Q$2:$Q$387,
    단가표!$H$2:$H$387,
    "차열재 없음"
)</f>
        <v>차열재 없음</v>
      </c>
      <c r="Q47" s="56" t="str">
        <f>_xlfn.XLOOKUP(
    C47 &amp; "|" &amp; D47 &amp; "|" &amp; E47,
    단가표!$Q$2:$Q$387,
    단가표!$L$2:$L$387,
    "0"
)</f>
        <v>0</v>
      </c>
      <c r="R47" s="56" t="str">
        <f>_xlfn.XLOOKUP(
    C47 &amp; "|" &amp; D47 &amp; "|" &amp; E47,
    단가표!$Q$2:$Q$387,
    단가표!$M$2:$M$387,
    "0"
)</f>
        <v>0</v>
      </c>
      <c r="S47" s="56">
        <f t="shared" si="7"/>
        <v>0</v>
      </c>
      <c r="T47" s="106">
        <f>_xlfn.XLOOKUP(
    C47 &amp; "|" &amp; D47 &amp; "|" &amp; E47,
    단가표!$Q$2:$Q$387,
    단가표!$E$2:$E$387,
    0
)</f>
        <v>0</v>
      </c>
      <c r="U47" s="105">
        <f t="shared" si="8"/>
        <v>0</v>
      </c>
      <c r="V47" s="83">
        <f>_xlfn.XLOOKUP(
    C47 &amp; "|" &amp; D47 &amp; "|" &amp; E47,
    단가표!$Q$2:$Q$387,
    단가표!$G$2:$G$387,
    0
)</f>
        <v>0</v>
      </c>
      <c r="W47" s="83">
        <f t="shared" si="9"/>
        <v>0</v>
      </c>
      <c r="X47" s="83">
        <f t="shared" si="10"/>
        <v>0</v>
      </c>
      <c r="Y47" s="37">
        <f t="shared" si="11"/>
        <v>0</v>
      </c>
    </row>
    <row r="48" spans="2:25" ht="26.45" customHeight="1">
      <c r="B48" s="35">
        <f t="shared" si="5"/>
        <v>36</v>
      </c>
      <c r="C48" s="43"/>
      <c r="D48" s="43"/>
      <c r="E48" s="44"/>
      <c r="F48" s="396"/>
      <c r="G48" s="39"/>
      <c r="H48" s="39"/>
      <c r="I48" s="356"/>
      <c r="J48" s="38"/>
      <c r="K48" s="56" t="str">
        <f>IF(V48=0,
    "판매가 없음",
    _xlfn.XLOOKUP(
        C48 &amp; "|" &amp; D48 &amp; "|" &amp; E48,
        단가표!$Q$2:$Q$387,
        단가표!$O$2:$O$387,
        "0"
    )
)</f>
        <v>판매가 없음</v>
      </c>
      <c r="L48" s="69">
        <f>_xlfn.XLOOKUP(
    C48 &amp; "|" &amp; D48 &amp; "|" &amp; E48,
    단가표!$Q$2:$Q$387,
    단가표!$I$2:$I$387,
   0
)</f>
        <v>0</v>
      </c>
      <c r="M48" s="379">
        <f>_xlfn.XLOOKUP(
    C48 &amp; "|" &amp; D48 &amp; "|" &amp; E48,
    단가표!$Q$2:$Q$387,
    단가표!$J$2:$J$387,
   0
)</f>
        <v>0</v>
      </c>
      <c r="N48" s="69">
        <f>_xlfn.XLOOKUP(
    C48 &amp; "|" &amp; D48 &amp; "|" &amp; E48,
    단가표!$Q$2:$Q$387,
    단가표!$K$2:$K$387,
   0
)</f>
        <v>0</v>
      </c>
      <c r="O48" s="56">
        <f t="shared" si="6"/>
        <v>0</v>
      </c>
      <c r="P48" s="56" t="str">
        <f>_xlfn.XLOOKUP(
    C48 &amp; "|" &amp; D48 &amp; "|" &amp; E48,
    단가표!$Q$2:$Q$387,
    단가표!$H$2:$H$387,
    "차열재 없음"
)</f>
        <v>차열재 없음</v>
      </c>
      <c r="Q48" s="56" t="str">
        <f>_xlfn.XLOOKUP(
    C48 &amp; "|" &amp; D48 &amp; "|" &amp; E48,
    단가표!$Q$2:$Q$387,
    단가표!$L$2:$L$387,
    "0"
)</f>
        <v>0</v>
      </c>
      <c r="R48" s="56" t="str">
        <f>_xlfn.XLOOKUP(
    C48 &amp; "|" &amp; D48 &amp; "|" &amp; E48,
    단가표!$Q$2:$Q$387,
    단가표!$M$2:$M$387,
    "0"
)</f>
        <v>0</v>
      </c>
      <c r="S48" s="56">
        <f t="shared" si="7"/>
        <v>0</v>
      </c>
      <c r="T48" s="106">
        <f>_xlfn.XLOOKUP(
    C48 &amp; "|" &amp; D48 &amp; "|" &amp; E48,
    단가표!$Q$2:$Q$387,
    단가표!$E$2:$E$387,
    0
)</f>
        <v>0</v>
      </c>
      <c r="U48" s="105">
        <f t="shared" si="8"/>
        <v>0</v>
      </c>
      <c r="V48" s="83">
        <f>_xlfn.XLOOKUP(
    C48 &amp; "|" &amp; D48 &amp; "|" &amp; E48,
    단가표!$Q$2:$Q$387,
    단가표!$G$2:$G$387,
    0
)</f>
        <v>0</v>
      </c>
      <c r="W48" s="83">
        <f t="shared" si="9"/>
        <v>0</v>
      </c>
      <c r="X48" s="83">
        <f t="shared" si="10"/>
        <v>0</v>
      </c>
      <c r="Y48" s="37">
        <f t="shared" si="11"/>
        <v>0</v>
      </c>
    </row>
    <row r="49" spans="2:25" ht="26.45" customHeight="1">
      <c r="B49" s="35">
        <f t="shared" si="5"/>
        <v>37</v>
      </c>
      <c r="C49" s="43"/>
      <c r="D49" s="43"/>
      <c r="E49" s="44"/>
      <c r="F49" s="396"/>
      <c r="G49" s="39"/>
      <c r="H49" s="39"/>
      <c r="I49" s="356"/>
      <c r="J49" s="38"/>
      <c r="K49" s="56" t="str">
        <f>IF(V49=0,
    "판매가 없음",
    _xlfn.XLOOKUP(
        C49 &amp; "|" &amp; D49 &amp; "|" &amp; E49,
        단가표!$Q$2:$Q$387,
        단가표!$O$2:$O$387,
        "0"
    )
)</f>
        <v>판매가 없음</v>
      </c>
      <c r="L49" s="69">
        <f>_xlfn.XLOOKUP(
    C49 &amp; "|" &amp; D49 &amp; "|" &amp; E49,
    단가표!$Q$2:$Q$387,
    단가표!$I$2:$I$387,
   0
)</f>
        <v>0</v>
      </c>
      <c r="M49" s="379">
        <f>_xlfn.XLOOKUP(
    C49 &amp; "|" &amp; D49 &amp; "|" &amp; E49,
    단가표!$Q$2:$Q$387,
    단가표!$J$2:$J$387,
   0
)</f>
        <v>0</v>
      </c>
      <c r="N49" s="69">
        <f>_xlfn.XLOOKUP(
    C49 &amp; "|" &amp; D49 &amp; "|" &amp; E49,
    단가표!$Q$2:$Q$387,
    단가표!$K$2:$K$387,
   0
)</f>
        <v>0</v>
      </c>
      <c r="O49" s="56">
        <f t="shared" si="6"/>
        <v>0</v>
      </c>
      <c r="P49" s="56" t="str">
        <f>_xlfn.XLOOKUP(
    C49 &amp; "|" &amp; D49 &amp; "|" &amp; E49,
    단가표!$Q$2:$Q$387,
    단가표!$H$2:$H$387,
    "차열재 없음"
)</f>
        <v>차열재 없음</v>
      </c>
      <c r="Q49" s="56" t="str">
        <f>_xlfn.XLOOKUP(
    C49 &amp; "|" &amp; D49 &amp; "|" &amp; E49,
    단가표!$Q$2:$Q$387,
    단가표!$L$2:$L$387,
    "0"
)</f>
        <v>0</v>
      </c>
      <c r="R49" s="56" t="str">
        <f>_xlfn.XLOOKUP(
    C49 &amp; "|" &amp; D49 &amp; "|" &amp; E49,
    단가표!$Q$2:$Q$387,
    단가표!$M$2:$M$387,
    "0"
)</f>
        <v>0</v>
      </c>
      <c r="S49" s="56">
        <f t="shared" si="7"/>
        <v>0</v>
      </c>
      <c r="T49" s="106">
        <f>_xlfn.XLOOKUP(
    C49 &amp; "|" &amp; D49 &amp; "|" &amp; E49,
    단가표!$Q$2:$Q$387,
    단가표!$E$2:$E$387,
    0
)</f>
        <v>0</v>
      </c>
      <c r="U49" s="105">
        <f t="shared" si="8"/>
        <v>0</v>
      </c>
      <c r="V49" s="83">
        <f>_xlfn.XLOOKUP(
    C49 &amp; "|" &amp; D49 &amp; "|" &amp; E49,
    단가표!$Q$2:$Q$387,
    단가표!$G$2:$G$387,
    0
)</f>
        <v>0</v>
      </c>
      <c r="W49" s="83">
        <f t="shared" si="9"/>
        <v>0</v>
      </c>
      <c r="X49" s="83">
        <f t="shared" si="10"/>
        <v>0</v>
      </c>
      <c r="Y49" s="37">
        <f t="shared" si="11"/>
        <v>0</v>
      </c>
    </row>
    <row r="50" spans="2:25" ht="26.45" customHeight="1">
      <c r="B50" s="35">
        <f t="shared" si="5"/>
        <v>38</v>
      </c>
      <c r="C50" s="43"/>
      <c r="D50" s="43"/>
      <c r="E50" s="44"/>
      <c r="F50" s="396"/>
      <c r="G50" s="39"/>
      <c r="H50" s="39"/>
      <c r="I50" s="356"/>
      <c r="J50" s="38"/>
      <c r="K50" s="56" t="str">
        <f>IF(V50=0,
    "판매가 없음",
    _xlfn.XLOOKUP(
        C50 &amp; "|" &amp; D50 &amp; "|" &amp; E50,
        단가표!$Q$2:$Q$387,
        단가표!$O$2:$O$387,
        "0"
    )
)</f>
        <v>판매가 없음</v>
      </c>
      <c r="L50" s="69">
        <f>_xlfn.XLOOKUP(
    C50 &amp; "|" &amp; D50 &amp; "|" &amp; E50,
    단가표!$Q$2:$Q$387,
    단가표!$I$2:$I$387,
   0
)</f>
        <v>0</v>
      </c>
      <c r="M50" s="379">
        <f>_xlfn.XLOOKUP(
    C50 &amp; "|" &amp; D50 &amp; "|" &amp; E50,
    단가표!$Q$2:$Q$387,
    단가표!$J$2:$J$387,
   0
)</f>
        <v>0</v>
      </c>
      <c r="N50" s="69">
        <f>_xlfn.XLOOKUP(
    C50 &amp; "|" &amp; D50 &amp; "|" &amp; E50,
    단가표!$Q$2:$Q$387,
    단가표!$K$2:$K$387,
   0
)</f>
        <v>0</v>
      </c>
      <c r="O50" s="56">
        <f t="shared" si="6"/>
        <v>0</v>
      </c>
      <c r="P50" s="56" t="str">
        <f>_xlfn.XLOOKUP(
    C50 &amp; "|" &amp; D50 &amp; "|" &amp; E50,
    단가표!$Q$2:$Q$387,
    단가표!$H$2:$H$387,
    "차열재 없음"
)</f>
        <v>차열재 없음</v>
      </c>
      <c r="Q50" s="56" t="str">
        <f>_xlfn.XLOOKUP(
    C50 &amp; "|" &amp; D50 &amp; "|" &amp; E50,
    단가표!$Q$2:$Q$387,
    단가표!$L$2:$L$387,
    "0"
)</f>
        <v>0</v>
      </c>
      <c r="R50" s="56" t="str">
        <f>_xlfn.XLOOKUP(
    C50 &amp; "|" &amp; D50 &amp; "|" &amp; E50,
    단가표!$Q$2:$Q$387,
    단가표!$M$2:$M$387,
    "0"
)</f>
        <v>0</v>
      </c>
      <c r="S50" s="56">
        <f t="shared" si="7"/>
        <v>0</v>
      </c>
      <c r="T50" s="106">
        <f>_xlfn.XLOOKUP(
    C50 &amp; "|" &amp; D50 &amp; "|" &amp; E50,
    단가표!$Q$2:$Q$387,
    단가표!$E$2:$E$387,
    0
)</f>
        <v>0</v>
      </c>
      <c r="U50" s="105">
        <f t="shared" si="8"/>
        <v>0</v>
      </c>
      <c r="V50" s="83">
        <f>_xlfn.XLOOKUP(
    C50 &amp; "|" &amp; D50 &amp; "|" &amp; E50,
    단가표!$Q$2:$Q$387,
    단가표!$G$2:$G$387,
    0
)</f>
        <v>0</v>
      </c>
      <c r="W50" s="83">
        <f t="shared" si="9"/>
        <v>0</v>
      </c>
      <c r="X50" s="83">
        <f t="shared" si="10"/>
        <v>0</v>
      </c>
      <c r="Y50" s="37">
        <f t="shared" si="11"/>
        <v>0</v>
      </c>
    </row>
    <row r="51" spans="2:25" ht="26.45" customHeight="1">
      <c r="B51" s="35">
        <f t="shared" si="5"/>
        <v>39</v>
      </c>
      <c r="C51" s="43"/>
      <c r="D51" s="43"/>
      <c r="E51" s="44"/>
      <c r="F51" s="396"/>
      <c r="G51" s="39"/>
      <c r="H51" s="39"/>
      <c r="I51" s="356"/>
      <c r="J51" s="38"/>
      <c r="K51" s="56" t="str">
        <f>IF(V51=0,
    "판매가 없음",
    _xlfn.XLOOKUP(
        C51 &amp; "|" &amp; D51 &amp; "|" &amp; E51,
        단가표!$Q$2:$Q$387,
        단가표!$O$2:$O$387,
        "0"
    )
)</f>
        <v>판매가 없음</v>
      </c>
      <c r="L51" s="69">
        <f>_xlfn.XLOOKUP(
    C51 &amp; "|" &amp; D51 &amp; "|" &amp; E51,
    단가표!$Q$2:$Q$387,
    단가표!$I$2:$I$387,
   0
)</f>
        <v>0</v>
      </c>
      <c r="M51" s="379">
        <f>_xlfn.XLOOKUP(
    C51 &amp; "|" &amp; D51 &amp; "|" &amp; E51,
    단가표!$Q$2:$Q$387,
    단가표!$J$2:$J$387,
   0
)</f>
        <v>0</v>
      </c>
      <c r="N51" s="69">
        <f>_xlfn.XLOOKUP(
    C51 &amp; "|" &amp; D51 &amp; "|" &amp; E51,
    단가표!$Q$2:$Q$387,
    단가표!$K$2:$K$387,
   0
)</f>
        <v>0</v>
      </c>
      <c r="O51" s="56">
        <f t="shared" si="6"/>
        <v>0</v>
      </c>
      <c r="P51" s="56" t="str">
        <f>_xlfn.XLOOKUP(
    C51 &amp; "|" &amp; D51 &amp; "|" &amp; E51,
    단가표!$Q$2:$Q$387,
    단가표!$H$2:$H$387,
    "차열재 없음"
)</f>
        <v>차열재 없음</v>
      </c>
      <c r="Q51" s="56" t="str">
        <f>_xlfn.XLOOKUP(
    C51 &amp; "|" &amp; D51 &amp; "|" &amp; E51,
    단가표!$Q$2:$Q$387,
    단가표!$L$2:$L$387,
    "0"
)</f>
        <v>0</v>
      </c>
      <c r="R51" s="56" t="str">
        <f>_xlfn.XLOOKUP(
    C51 &amp; "|" &amp; D51 &amp; "|" &amp; E51,
    단가표!$Q$2:$Q$387,
    단가표!$M$2:$M$387,
    "0"
)</f>
        <v>0</v>
      </c>
      <c r="S51" s="56">
        <f t="shared" si="7"/>
        <v>0</v>
      </c>
      <c r="T51" s="106">
        <f>_xlfn.XLOOKUP(
    C51 &amp; "|" &amp; D51 &amp; "|" &amp; E51,
    단가표!$Q$2:$Q$387,
    단가표!$E$2:$E$387,
    0
)</f>
        <v>0</v>
      </c>
      <c r="U51" s="105">
        <f t="shared" si="8"/>
        <v>0</v>
      </c>
      <c r="V51" s="83">
        <f>_xlfn.XLOOKUP(
    C51 &amp; "|" &amp; D51 &amp; "|" &amp; E51,
    단가표!$Q$2:$Q$387,
    단가표!$G$2:$G$387,
    0
)</f>
        <v>0</v>
      </c>
      <c r="W51" s="83">
        <f t="shared" si="9"/>
        <v>0</v>
      </c>
      <c r="X51" s="83">
        <f t="shared" si="10"/>
        <v>0</v>
      </c>
      <c r="Y51" s="37">
        <f t="shared" si="11"/>
        <v>0</v>
      </c>
    </row>
    <row r="52" spans="2:25" ht="26.45" customHeight="1">
      <c r="B52" s="35">
        <f t="shared" si="5"/>
        <v>40</v>
      </c>
      <c r="C52" s="43"/>
      <c r="D52" s="43"/>
      <c r="E52" s="44"/>
      <c r="F52" s="396"/>
      <c r="G52" s="39"/>
      <c r="H52" s="39"/>
      <c r="I52" s="356"/>
      <c r="J52" s="38"/>
      <c r="K52" s="56" t="str">
        <f>IF(V52=0,
    "판매가 없음",
    _xlfn.XLOOKUP(
        C52 &amp; "|" &amp; D52 &amp; "|" &amp; E52,
        단가표!$Q$2:$Q$387,
        단가표!$O$2:$O$387,
        "0"
    )
)</f>
        <v>판매가 없음</v>
      </c>
      <c r="L52" s="69">
        <f>_xlfn.XLOOKUP(
    C52 &amp; "|" &amp; D52 &amp; "|" &amp; E52,
    단가표!$Q$2:$Q$387,
    단가표!$I$2:$I$387,
   0
)</f>
        <v>0</v>
      </c>
      <c r="M52" s="379">
        <f>_xlfn.XLOOKUP(
    C52 &amp; "|" &amp; D52 &amp; "|" &amp; E52,
    단가표!$Q$2:$Q$387,
    단가표!$J$2:$J$387,
   0
)</f>
        <v>0</v>
      </c>
      <c r="N52" s="69">
        <f>_xlfn.XLOOKUP(
    C52 &amp; "|" &amp; D52 &amp; "|" &amp; E52,
    단가표!$Q$2:$Q$387,
    단가표!$K$2:$K$387,
   0
)</f>
        <v>0</v>
      </c>
      <c r="O52" s="56">
        <f t="shared" si="6"/>
        <v>0</v>
      </c>
      <c r="P52" s="56" t="str">
        <f>_xlfn.XLOOKUP(
    C52 &amp; "|" &amp; D52 &amp; "|" &amp; E52,
    단가표!$Q$2:$Q$387,
    단가표!$H$2:$H$387,
    "차열재 없음"
)</f>
        <v>차열재 없음</v>
      </c>
      <c r="Q52" s="56" t="str">
        <f>_xlfn.XLOOKUP(
    C52 &amp; "|" &amp; D52 &amp; "|" &amp; E52,
    단가표!$Q$2:$Q$387,
    단가표!$L$2:$L$387,
    "0"
)</f>
        <v>0</v>
      </c>
      <c r="R52" s="56" t="str">
        <f>_xlfn.XLOOKUP(
    C52 &amp; "|" &amp; D52 &amp; "|" &amp; E52,
    단가표!$Q$2:$Q$387,
    단가표!$M$2:$M$387,
    "0"
)</f>
        <v>0</v>
      </c>
      <c r="S52" s="56">
        <f t="shared" si="7"/>
        <v>0</v>
      </c>
      <c r="T52" s="106">
        <f>_xlfn.XLOOKUP(
    C52 &amp; "|" &amp; D52 &amp; "|" &amp; E52,
    단가표!$Q$2:$Q$387,
    단가표!$E$2:$E$387,
    0
)</f>
        <v>0</v>
      </c>
      <c r="U52" s="105">
        <f t="shared" si="8"/>
        <v>0</v>
      </c>
      <c r="V52" s="83">
        <f>_xlfn.XLOOKUP(
    C52 &amp; "|" &amp; D52 &amp; "|" &amp; E52,
    단가표!$Q$2:$Q$387,
    단가표!$G$2:$G$387,
    0
)</f>
        <v>0</v>
      </c>
      <c r="W52" s="83">
        <f t="shared" si="9"/>
        <v>0</v>
      </c>
      <c r="X52" s="83">
        <f t="shared" si="10"/>
        <v>0</v>
      </c>
      <c r="Y52" s="37">
        <f t="shared" si="11"/>
        <v>0</v>
      </c>
    </row>
    <row r="53" spans="2:25" ht="26.45" customHeight="1">
      <c r="B53" s="35">
        <f t="shared" si="5"/>
        <v>41</v>
      </c>
      <c r="C53" s="43"/>
      <c r="D53" s="43"/>
      <c r="E53" s="44"/>
      <c r="F53" s="396"/>
      <c r="G53" s="39"/>
      <c r="H53" s="39"/>
      <c r="I53" s="356"/>
      <c r="J53" s="38"/>
      <c r="K53" s="56" t="str">
        <f>IF(V53=0,
    "판매가 없음",
    _xlfn.XLOOKUP(
        C53 &amp; "|" &amp; D53 &amp; "|" &amp; E53,
        단가표!$Q$2:$Q$387,
        단가표!$O$2:$O$387,
        "0"
    )
)</f>
        <v>판매가 없음</v>
      </c>
      <c r="L53" s="69">
        <f>_xlfn.XLOOKUP(
    C53 &amp; "|" &amp; D53 &amp; "|" &amp; E53,
    단가표!$Q$2:$Q$387,
    단가표!$I$2:$I$387,
   0
)</f>
        <v>0</v>
      </c>
      <c r="M53" s="379">
        <f>_xlfn.XLOOKUP(
    C53 &amp; "|" &amp; D53 &amp; "|" &amp; E53,
    단가표!$Q$2:$Q$387,
    단가표!$J$2:$J$387,
   0
)</f>
        <v>0</v>
      </c>
      <c r="N53" s="69">
        <f>_xlfn.XLOOKUP(
    C53 &amp; "|" &amp; D53 &amp; "|" &amp; E53,
    단가표!$Q$2:$Q$387,
    단가표!$K$2:$K$387,
   0
)</f>
        <v>0</v>
      </c>
      <c r="O53" s="56">
        <f t="shared" si="6"/>
        <v>0</v>
      </c>
      <c r="P53" s="56" t="str">
        <f>_xlfn.XLOOKUP(
    C53 &amp; "|" &amp; D53 &amp; "|" &amp; E53,
    단가표!$Q$2:$Q$387,
    단가표!$H$2:$H$387,
    "차열재 없음"
)</f>
        <v>차열재 없음</v>
      </c>
      <c r="Q53" s="56" t="str">
        <f>_xlfn.XLOOKUP(
    C53 &amp; "|" &amp; D53 &amp; "|" &amp; E53,
    단가표!$Q$2:$Q$387,
    단가표!$L$2:$L$387,
    "0"
)</f>
        <v>0</v>
      </c>
      <c r="R53" s="56" t="str">
        <f>_xlfn.XLOOKUP(
    C53 &amp; "|" &amp; D53 &amp; "|" &amp; E53,
    단가표!$Q$2:$Q$387,
    단가표!$M$2:$M$387,
    "0"
)</f>
        <v>0</v>
      </c>
      <c r="S53" s="56">
        <f t="shared" si="7"/>
        <v>0</v>
      </c>
      <c r="T53" s="106">
        <f>_xlfn.XLOOKUP(
    C53 &amp; "|" &amp; D53 &amp; "|" &amp; E53,
    단가표!$Q$2:$Q$387,
    단가표!$E$2:$E$387,
    0
)</f>
        <v>0</v>
      </c>
      <c r="U53" s="105">
        <f t="shared" si="8"/>
        <v>0</v>
      </c>
      <c r="V53" s="83">
        <f>_xlfn.XLOOKUP(
    C53 &amp; "|" &amp; D53 &amp; "|" &amp; E53,
    단가표!$Q$2:$Q$387,
    단가표!$G$2:$G$387,
    0
)</f>
        <v>0</v>
      </c>
      <c r="W53" s="83">
        <f t="shared" si="9"/>
        <v>0</v>
      </c>
      <c r="X53" s="83">
        <f t="shared" si="10"/>
        <v>0</v>
      </c>
      <c r="Y53" s="37">
        <f t="shared" si="11"/>
        <v>0</v>
      </c>
    </row>
    <row r="54" spans="2:25" ht="26.45" customHeight="1">
      <c r="B54" s="35">
        <f t="shared" si="5"/>
        <v>42</v>
      </c>
      <c r="C54" s="43"/>
      <c r="D54" s="43"/>
      <c r="E54" s="44"/>
      <c r="F54" s="396"/>
      <c r="G54" s="39"/>
      <c r="H54" s="39"/>
      <c r="I54" s="356"/>
      <c r="J54" s="38"/>
      <c r="K54" s="56" t="str">
        <f>IF(V54=0,
    "판매가 없음",
    _xlfn.XLOOKUP(
        C54 &amp; "|" &amp; D54 &amp; "|" &amp; E54,
        단가표!$Q$2:$Q$387,
        단가표!$O$2:$O$387,
        "0"
    )
)</f>
        <v>판매가 없음</v>
      </c>
      <c r="L54" s="69">
        <f>_xlfn.XLOOKUP(
    C54 &amp; "|" &amp; D54 &amp; "|" &amp; E54,
    단가표!$Q$2:$Q$387,
    단가표!$I$2:$I$387,
   0
)</f>
        <v>0</v>
      </c>
      <c r="M54" s="379">
        <f>_xlfn.XLOOKUP(
    C54 &amp; "|" &amp; D54 &amp; "|" &amp; E54,
    단가표!$Q$2:$Q$387,
    단가표!$J$2:$J$387,
   0
)</f>
        <v>0</v>
      </c>
      <c r="N54" s="69">
        <f>_xlfn.XLOOKUP(
    C54 &amp; "|" &amp; D54 &amp; "|" &amp; E54,
    단가표!$Q$2:$Q$387,
    단가표!$K$2:$K$387,
   0
)</f>
        <v>0</v>
      </c>
      <c r="O54" s="56">
        <f t="shared" si="6"/>
        <v>0</v>
      </c>
      <c r="P54" s="56" t="str">
        <f>_xlfn.XLOOKUP(
    C54 &amp; "|" &amp; D54 &amp; "|" &amp; E54,
    단가표!$Q$2:$Q$387,
    단가표!$H$2:$H$387,
    "차열재 없음"
)</f>
        <v>차열재 없음</v>
      </c>
      <c r="Q54" s="56" t="str">
        <f>_xlfn.XLOOKUP(
    C54 &amp; "|" &amp; D54 &amp; "|" &amp; E54,
    단가표!$Q$2:$Q$387,
    단가표!$L$2:$L$387,
    "0"
)</f>
        <v>0</v>
      </c>
      <c r="R54" s="56" t="str">
        <f>_xlfn.XLOOKUP(
    C54 &amp; "|" &amp; D54 &amp; "|" &amp; E54,
    단가표!$Q$2:$Q$387,
    단가표!$M$2:$M$387,
    "0"
)</f>
        <v>0</v>
      </c>
      <c r="S54" s="56">
        <f t="shared" si="7"/>
        <v>0</v>
      </c>
      <c r="T54" s="106">
        <f>_xlfn.XLOOKUP(
    C54 &amp; "|" &amp; D54 &amp; "|" &amp; E54,
    단가표!$Q$2:$Q$387,
    단가표!$E$2:$E$387,
    0
)</f>
        <v>0</v>
      </c>
      <c r="U54" s="105">
        <f t="shared" si="8"/>
        <v>0</v>
      </c>
      <c r="V54" s="83">
        <f>_xlfn.XLOOKUP(
    C54 &amp; "|" &amp; D54 &amp; "|" &amp; E54,
    단가표!$Q$2:$Q$387,
    단가표!$G$2:$G$387,
    0
)</f>
        <v>0</v>
      </c>
      <c r="W54" s="83">
        <f t="shared" si="9"/>
        <v>0</v>
      </c>
      <c r="X54" s="83">
        <f t="shared" si="10"/>
        <v>0</v>
      </c>
      <c r="Y54" s="37">
        <f t="shared" si="11"/>
        <v>0</v>
      </c>
    </row>
    <row r="55" spans="2:25" ht="26.45" customHeight="1">
      <c r="B55" s="35">
        <f t="shared" si="5"/>
        <v>43</v>
      </c>
      <c r="C55" s="43"/>
      <c r="D55" s="43"/>
      <c r="E55" s="44"/>
      <c r="F55" s="396"/>
      <c r="G55" s="39"/>
      <c r="H55" s="39"/>
      <c r="I55" s="356"/>
      <c r="J55" s="38"/>
      <c r="K55" s="56" t="str">
        <f>IF(V55=0,
    "판매가 없음",
    _xlfn.XLOOKUP(
        C55 &amp; "|" &amp; D55 &amp; "|" &amp; E55,
        단가표!$Q$2:$Q$387,
        단가표!$O$2:$O$387,
        "0"
    )
)</f>
        <v>판매가 없음</v>
      </c>
      <c r="L55" s="69">
        <f>_xlfn.XLOOKUP(
    C55 &amp; "|" &amp; D55 &amp; "|" &amp; E55,
    단가표!$Q$2:$Q$387,
    단가표!$I$2:$I$387,
   0
)</f>
        <v>0</v>
      </c>
      <c r="M55" s="379">
        <f>_xlfn.XLOOKUP(
    C55 &amp; "|" &amp; D55 &amp; "|" &amp; E55,
    단가표!$Q$2:$Q$387,
    단가표!$J$2:$J$387,
   0
)</f>
        <v>0</v>
      </c>
      <c r="N55" s="69">
        <f>_xlfn.XLOOKUP(
    C55 &amp; "|" &amp; D55 &amp; "|" &amp; E55,
    단가표!$Q$2:$Q$387,
    단가표!$K$2:$K$387,
   0
)</f>
        <v>0</v>
      </c>
      <c r="O55" s="56">
        <f t="shared" si="6"/>
        <v>0</v>
      </c>
      <c r="P55" s="56" t="str">
        <f>_xlfn.XLOOKUP(
    C55 &amp; "|" &amp; D55 &amp; "|" &amp; E55,
    단가표!$Q$2:$Q$387,
    단가표!$H$2:$H$387,
    "차열재 없음"
)</f>
        <v>차열재 없음</v>
      </c>
      <c r="Q55" s="56" t="str">
        <f>_xlfn.XLOOKUP(
    C55 &amp; "|" &amp; D55 &amp; "|" &amp; E55,
    단가표!$Q$2:$Q$387,
    단가표!$L$2:$L$387,
    "0"
)</f>
        <v>0</v>
      </c>
      <c r="R55" s="56" t="str">
        <f>_xlfn.XLOOKUP(
    C55 &amp; "|" &amp; D55 &amp; "|" &amp; E55,
    단가표!$Q$2:$Q$387,
    단가표!$M$2:$M$387,
    "0"
)</f>
        <v>0</v>
      </c>
      <c r="S55" s="56">
        <f t="shared" si="7"/>
        <v>0</v>
      </c>
      <c r="T55" s="106">
        <f>_xlfn.XLOOKUP(
    C55 &amp; "|" &amp; D55 &amp; "|" &amp; E55,
    단가표!$Q$2:$Q$387,
    단가표!$E$2:$E$387,
    0
)</f>
        <v>0</v>
      </c>
      <c r="U55" s="105">
        <f t="shared" si="8"/>
        <v>0</v>
      </c>
      <c r="V55" s="83">
        <f>_xlfn.XLOOKUP(
    C55 &amp; "|" &amp; D55 &amp; "|" &amp; E55,
    단가표!$Q$2:$Q$387,
    단가표!$G$2:$G$387,
    0
)</f>
        <v>0</v>
      </c>
      <c r="W55" s="83">
        <f t="shared" si="9"/>
        <v>0</v>
      </c>
      <c r="X55" s="83">
        <f t="shared" si="10"/>
        <v>0</v>
      </c>
      <c r="Y55" s="37">
        <f t="shared" si="11"/>
        <v>0</v>
      </c>
    </row>
    <row r="56" spans="2:25" ht="26.45" customHeight="1">
      <c r="B56" s="35">
        <f t="shared" si="5"/>
        <v>44</v>
      </c>
      <c r="C56" s="43"/>
      <c r="D56" s="43"/>
      <c r="E56" s="44"/>
      <c r="F56" s="396"/>
      <c r="G56" s="39"/>
      <c r="H56" s="39"/>
      <c r="I56" s="356"/>
      <c r="J56" s="38"/>
      <c r="K56" s="56" t="str">
        <f>IF(V56=0,
    "판매가 없음",
    _xlfn.XLOOKUP(
        C56 &amp; "|" &amp; D56 &amp; "|" &amp; E56,
        단가표!$Q$2:$Q$387,
        단가표!$O$2:$O$387,
        "0"
    )
)</f>
        <v>판매가 없음</v>
      </c>
      <c r="L56" s="69">
        <f>_xlfn.XLOOKUP(
    C56 &amp; "|" &amp; D56 &amp; "|" &amp; E56,
    단가표!$Q$2:$Q$387,
    단가표!$I$2:$I$387,
   0
)</f>
        <v>0</v>
      </c>
      <c r="M56" s="379">
        <f>_xlfn.XLOOKUP(
    C56 &amp; "|" &amp; D56 &amp; "|" &amp; E56,
    단가표!$Q$2:$Q$387,
    단가표!$J$2:$J$387,
   0
)</f>
        <v>0</v>
      </c>
      <c r="N56" s="69">
        <f>_xlfn.XLOOKUP(
    C56 &amp; "|" &amp; D56 &amp; "|" &amp; E56,
    단가표!$Q$2:$Q$387,
    단가표!$K$2:$K$387,
   0
)</f>
        <v>0</v>
      </c>
      <c r="O56" s="56">
        <f t="shared" si="6"/>
        <v>0</v>
      </c>
      <c r="P56" s="56" t="str">
        <f>_xlfn.XLOOKUP(
    C56 &amp; "|" &amp; D56 &amp; "|" &amp; E56,
    단가표!$Q$2:$Q$387,
    단가표!$H$2:$H$387,
    "차열재 없음"
)</f>
        <v>차열재 없음</v>
      </c>
      <c r="Q56" s="56" t="str">
        <f>_xlfn.XLOOKUP(
    C56 &amp; "|" &amp; D56 &amp; "|" &amp; E56,
    단가표!$Q$2:$Q$387,
    단가표!$L$2:$L$387,
    "0"
)</f>
        <v>0</v>
      </c>
      <c r="R56" s="56" t="str">
        <f>_xlfn.XLOOKUP(
    C56 &amp; "|" &amp; D56 &amp; "|" &amp; E56,
    단가표!$Q$2:$Q$387,
    단가표!$M$2:$M$387,
    "0"
)</f>
        <v>0</v>
      </c>
      <c r="S56" s="56">
        <f t="shared" si="7"/>
        <v>0</v>
      </c>
      <c r="T56" s="106">
        <f>_xlfn.XLOOKUP(
    C56 &amp; "|" &amp; D56 &amp; "|" &amp; E56,
    단가표!$Q$2:$Q$387,
    단가표!$E$2:$E$387,
    0
)</f>
        <v>0</v>
      </c>
      <c r="U56" s="105">
        <f t="shared" si="8"/>
        <v>0</v>
      </c>
      <c r="V56" s="83">
        <f>_xlfn.XLOOKUP(
    C56 &amp; "|" &amp; D56 &amp; "|" &amp; E56,
    단가표!$Q$2:$Q$387,
    단가표!$G$2:$G$387,
    0
)</f>
        <v>0</v>
      </c>
      <c r="W56" s="83">
        <f t="shared" si="9"/>
        <v>0</v>
      </c>
      <c r="X56" s="83">
        <f t="shared" si="10"/>
        <v>0</v>
      </c>
      <c r="Y56" s="37">
        <f t="shared" si="11"/>
        <v>0</v>
      </c>
    </row>
    <row r="57" spans="2:25" ht="26.45" customHeight="1">
      <c r="B57" s="35">
        <f t="shared" si="5"/>
        <v>45</v>
      </c>
      <c r="C57" s="43"/>
      <c r="D57" s="43"/>
      <c r="E57" s="44"/>
      <c r="F57" s="396"/>
      <c r="G57" s="39"/>
      <c r="H57" s="39"/>
      <c r="I57" s="356"/>
      <c r="J57" s="38"/>
      <c r="K57" s="56" t="str">
        <f>IF(V57=0,
    "판매가 없음",
    _xlfn.XLOOKUP(
        C57 &amp; "|" &amp; D57 &amp; "|" &amp; E57,
        단가표!$Q$2:$Q$387,
        단가표!$O$2:$O$387,
        "0"
    )
)</f>
        <v>판매가 없음</v>
      </c>
      <c r="L57" s="69">
        <f>_xlfn.XLOOKUP(
    C57 &amp; "|" &amp; D57 &amp; "|" &amp; E57,
    단가표!$Q$2:$Q$387,
    단가표!$I$2:$I$387,
   0
)</f>
        <v>0</v>
      </c>
      <c r="M57" s="379">
        <f>_xlfn.XLOOKUP(
    C57 &amp; "|" &amp; D57 &amp; "|" &amp; E57,
    단가표!$Q$2:$Q$387,
    단가표!$J$2:$J$387,
   0
)</f>
        <v>0</v>
      </c>
      <c r="N57" s="69">
        <f>_xlfn.XLOOKUP(
    C57 &amp; "|" &amp; D57 &amp; "|" &amp; E57,
    단가표!$Q$2:$Q$387,
    단가표!$K$2:$K$387,
   0
)</f>
        <v>0</v>
      </c>
      <c r="O57" s="56">
        <f t="shared" si="6"/>
        <v>0</v>
      </c>
      <c r="P57" s="56" t="str">
        <f>_xlfn.XLOOKUP(
    C57 &amp; "|" &amp; D57 &amp; "|" &amp; E57,
    단가표!$Q$2:$Q$387,
    단가표!$H$2:$H$387,
    "차열재 없음"
)</f>
        <v>차열재 없음</v>
      </c>
      <c r="Q57" s="56" t="str">
        <f>_xlfn.XLOOKUP(
    C57 &amp; "|" &amp; D57 &amp; "|" &amp; E57,
    단가표!$Q$2:$Q$387,
    단가표!$L$2:$L$387,
    "0"
)</f>
        <v>0</v>
      </c>
      <c r="R57" s="56" t="str">
        <f>_xlfn.XLOOKUP(
    C57 &amp; "|" &amp; D57 &amp; "|" &amp; E57,
    단가표!$Q$2:$Q$387,
    단가표!$M$2:$M$387,
    "0"
)</f>
        <v>0</v>
      </c>
      <c r="S57" s="56">
        <f t="shared" si="7"/>
        <v>0</v>
      </c>
      <c r="T57" s="106">
        <f>_xlfn.XLOOKUP(
    C57 &amp; "|" &amp; D57 &amp; "|" &amp; E57,
    단가표!$Q$2:$Q$387,
    단가표!$E$2:$E$387,
    0
)</f>
        <v>0</v>
      </c>
      <c r="U57" s="105">
        <f t="shared" si="8"/>
        <v>0</v>
      </c>
      <c r="V57" s="83">
        <f>_xlfn.XLOOKUP(
    C57 &amp; "|" &amp; D57 &amp; "|" &amp; E57,
    단가표!$Q$2:$Q$387,
    단가표!$G$2:$G$387,
    0
)</f>
        <v>0</v>
      </c>
      <c r="W57" s="83">
        <f t="shared" si="9"/>
        <v>0</v>
      </c>
      <c r="X57" s="83">
        <f t="shared" si="10"/>
        <v>0</v>
      </c>
      <c r="Y57" s="37">
        <f t="shared" si="11"/>
        <v>0</v>
      </c>
    </row>
    <row r="58" spans="2:25" ht="26.45" customHeight="1">
      <c r="B58" s="35">
        <f t="shared" si="5"/>
        <v>46</v>
      </c>
      <c r="C58" s="43"/>
      <c r="D58" s="43"/>
      <c r="E58" s="44"/>
      <c r="F58" s="396"/>
      <c r="G58" s="39"/>
      <c r="H58" s="39"/>
      <c r="I58" s="356"/>
      <c r="J58" s="38"/>
      <c r="K58" s="56" t="str">
        <f>IF(V58=0,
    "판매가 없음",
    _xlfn.XLOOKUP(
        C58 &amp; "|" &amp; D58 &amp; "|" &amp; E58,
        단가표!$Q$2:$Q$387,
        단가표!$O$2:$O$387,
        "0"
    )
)</f>
        <v>판매가 없음</v>
      </c>
      <c r="L58" s="69">
        <f>_xlfn.XLOOKUP(
    C58 &amp; "|" &amp; D58 &amp; "|" &amp; E58,
    단가표!$Q$2:$Q$387,
    단가표!$I$2:$I$387,
   0
)</f>
        <v>0</v>
      </c>
      <c r="M58" s="379">
        <f>_xlfn.XLOOKUP(
    C58 &amp; "|" &amp; D58 &amp; "|" &amp; E58,
    단가표!$Q$2:$Q$387,
    단가표!$J$2:$J$387,
   0
)</f>
        <v>0</v>
      </c>
      <c r="N58" s="69">
        <f>_xlfn.XLOOKUP(
    C58 &amp; "|" &amp; D58 &amp; "|" &amp; E58,
    단가표!$Q$2:$Q$387,
    단가표!$K$2:$K$387,
   0
)</f>
        <v>0</v>
      </c>
      <c r="O58" s="56">
        <f t="shared" si="6"/>
        <v>0</v>
      </c>
      <c r="P58" s="56" t="str">
        <f>_xlfn.XLOOKUP(
    C58 &amp; "|" &amp; D58 &amp; "|" &amp; E58,
    단가표!$Q$2:$Q$387,
    단가표!$H$2:$H$387,
    "차열재 없음"
)</f>
        <v>차열재 없음</v>
      </c>
      <c r="Q58" s="56" t="str">
        <f>_xlfn.XLOOKUP(
    C58 &amp; "|" &amp; D58 &amp; "|" &amp; E58,
    단가표!$Q$2:$Q$387,
    단가표!$L$2:$L$387,
    "0"
)</f>
        <v>0</v>
      </c>
      <c r="R58" s="56" t="str">
        <f>_xlfn.XLOOKUP(
    C58 &amp; "|" &amp; D58 &amp; "|" &amp; E58,
    단가표!$Q$2:$Q$387,
    단가표!$M$2:$M$387,
    "0"
)</f>
        <v>0</v>
      </c>
      <c r="S58" s="56">
        <f t="shared" si="7"/>
        <v>0</v>
      </c>
      <c r="T58" s="106">
        <f>_xlfn.XLOOKUP(
    C58 &amp; "|" &amp; D58 &amp; "|" &amp; E58,
    단가표!$Q$2:$Q$387,
    단가표!$E$2:$E$387,
    0
)</f>
        <v>0</v>
      </c>
      <c r="U58" s="105">
        <f t="shared" si="8"/>
        <v>0</v>
      </c>
      <c r="V58" s="83">
        <f>_xlfn.XLOOKUP(
    C58 &amp; "|" &amp; D58 &amp; "|" &amp; E58,
    단가표!$Q$2:$Q$387,
    단가표!$G$2:$G$387,
    0
)</f>
        <v>0</v>
      </c>
      <c r="W58" s="83">
        <f t="shared" si="9"/>
        <v>0</v>
      </c>
      <c r="X58" s="83">
        <f t="shared" si="10"/>
        <v>0</v>
      </c>
      <c r="Y58" s="37">
        <f t="shared" si="11"/>
        <v>0</v>
      </c>
    </row>
    <row r="59" spans="2:25" ht="26.45" customHeight="1">
      <c r="B59" s="35">
        <f t="shared" si="5"/>
        <v>47</v>
      </c>
      <c r="C59" s="43"/>
      <c r="D59" s="43"/>
      <c r="E59" s="44"/>
      <c r="F59" s="396"/>
      <c r="G59" s="39"/>
      <c r="H59" s="39"/>
      <c r="I59" s="356"/>
      <c r="J59" s="38"/>
      <c r="K59" s="56" t="str">
        <f>IF(V59=0,
    "판매가 없음",
    _xlfn.XLOOKUP(
        C59 &amp; "|" &amp; D59 &amp; "|" &amp; E59,
        단가표!$Q$2:$Q$387,
        단가표!$O$2:$O$387,
        "0"
    )
)</f>
        <v>판매가 없음</v>
      </c>
      <c r="L59" s="69">
        <f>_xlfn.XLOOKUP(
    C59 &amp; "|" &amp; D59 &amp; "|" &amp; E59,
    단가표!$Q$2:$Q$387,
    단가표!$I$2:$I$387,
   0
)</f>
        <v>0</v>
      </c>
      <c r="M59" s="379">
        <f>_xlfn.XLOOKUP(
    C59 &amp; "|" &amp; D59 &amp; "|" &amp; E59,
    단가표!$Q$2:$Q$387,
    단가표!$J$2:$J$387,
   0
)</f>
        <v>0</v>
      </c>
      <c r="N59" s="69">
        <f>_xlfn.XLOOKUP(
    C59 &amp; "|" &amp; D59 &amp; "|" &amp; E59,
    단가표!$Q$2:$Q$387,
    단가표!$K$2:$K$387,
   0
)</f>
        <v>0</v>
      </c>
      <c r="O59" s="56">
        <f t="shared" si="6"/>
        <v>0</v>
      </c>
      <c r="P59" s="56" t="str">
        <f>_xlfn.XLOOKUP(
    C59 &amp; "|" &amp; D59 &amp; "|" &amp; E59,
    단가표!$Q$2:$Q$387,
    단가표!$H$2:$H$387,
    "차열재 없음"
)</f>
        <v>차열재 없음</v>
      </c>
      <c r="Q59" s="56" t="str">
        <f>_xlfn.XLOOKUP(
    C59 &amp; "|" &amp; D59 &amp; "|" &amp; E59,
    단가표!$Q$2:$Q$387,
    단가표!$L$2:$L$387,
    "0"
)</f>
        <v>0</v>
      </c>
      <c r="R59" s="56" t="str">
        <f>_xlfn.XLOOKUP(
    C59 &amp; "|" &amp; D59 &amp; "|" &amp; E59,
    단가표!$Q$2:$Q$387,
    단가표!$M$2:$M$387,
    "0"
)</f>
        <v>0</v>
      </c>
      <c r="S59" s="56">
        <f t="shared" si="7"/>
        <v>0</v>
      </c>
      <c r="T59" s="106">
        <f>_xlfn.XLOOKUP(
    C59 &amp; "|" &amp; D59 &amp; "|" &amp; E59,
    단가표!$Q$2:$Q$387,
    단가표!$E$2:$E$387,
    0
)</f>
        <v>0</v>
      </c>
      <c r="U59" s="105">
        <f t="shared" si="8"/>
        <v>0</v>
      </c>
      <c r="V59" s="83">
        <f>_xlfn.XLOOKUP(
    C59 &amp; "|" &amp; D59 &amp; "|" &amp; E59,
    단가표!$Q$2:$Q$387,
    단가표!$G$2:$G$387,
    0
)</f>
        <v>0</v>
      </c>
      <c r="W59" s="83">
        <f t="shared" si="9"/>
        <v>0</v>
      </c>
      <c r="X59" s="83">
        <f t="shared" si="10"/>
        <v>0</v>
      </c>
      <c r="Y59" s="37">
        <f t="shared" si="11"/>
        <v>0</v>
      </c>
    </row>
    <row r="60" spans="2:25" ht="26.45" customHeight="1">
      <c r="B60" s="35">
        <f t="shared" si="5"/>
        <v>48</v>
      </c>
      <c r="C60" s="43"/>
      <c r="D60" s="43"/>
      <c r="E60" s="44"/>
      <c r="F60" s="396"/>
      <c r="G60" s="39"/>
      <c r="H60" s="39"/>
      <c r="I60" s="356"/>
      <c r="J60" s="38"/>
      <c r="K60" s="56" t="str">
        <f>IF(V60=0,
    "판매가 없음",
    _xlfn.XLOOKUP(
        C60 &amp; "|" &amp; D60 &amp; "|" &amp; E60,
        단가표!$Q$2:$Q$387,
        단가표!$O$2:$O$387,
        "0"
    )
)</f>
        <v>판매가 없음</v>
      </c>
      <c r="L60" s="69">
        <f>_xlfn.XLOOKUP(
    C60 &amp; "|" &amp; D60 &amp; "|" &amp; E60,
    단가표!$Q$2:$Q$387,
    단가표!$I$2:$I$387,
   0
)</f>
        <v>0</v>
      </c>
      <c r="M60" s="379">
        <f>_xlfn.XLOOKUP(
    C60 &amp; "|" &amp; D60 &amp; "|" &amp; E60,
    단가표!$Q$2:$Q$387,
    단가표!$J$2:$J$387,
   0
)</f>
        <v>0</v>
      </c>
      <c r="N60" s="69">
        <f>_xlfn.XLOOKUP(
    C60 &amp; "|" &amp; D60 &amp; "|" &amp; E60,
    단가표!$Q$2:$Q$387,
    단가표!$K$2:$K$387,
   0
)</f>
        <v>0</v>
      </c>
      <c r="O60" s="56">
        <f t="shared" si="6"/>
        <v>0</v>
      </c>
      <c r="P60" s="56" t="str">
        <f>_xlfn.XLOOKUP(
    C60 &amp; "|" &amp; D60 &amp; "|" &amp; E60,
    단가표!$Q$2:$Q$387,
    단가표!$H$2:$H$387,
    "차열재 없음"
)</f>
        <v>차열재 없음</v>
      </c>
      <c r="Q60" s="56" t="str">
        <f>_xlfn.XLOOKUP(
    C60 &amp; "|" &amp; D60 &amp; "|" &amp; E60,
    단가표!$Q$2:$Q$387,
    단가표!$L$2:$L$387,
    "0"
)</f>
        <v>0</v>
      </c>
      <c r="R60" s="56" t="str">
        <f>_xlfn.XLOOKUP(
    C60 &amp; "|" &amp; D60 &amp; "|" &amp; E60,
    단가표!$Q$2:$Q$387,
    단가표!$M$2:$M$387,
    "0"
)</f>
        <v>0</v>
      </c>
      <c r="S60" s="56">
        <f t="shared" si="7"/>
        <v>0</v>
      </c>
      <c r="T60" s="106">
        <f>_xlfn.XLOOKUP(
    C60 &amp; "|" &amp; D60 &amp; "|" &amp; E60,
    단가표!$Q$2:$Q$387,
    단가표!$E$2:$E$387,
    0
)</f>
        <v>0</v>
      </c>
      <c r="U60" s="105">
        <f t="shared" si="8"/>
        <v>0</v>
      </c>
      <c r="V60" s="83">
        <f>_xlfn.XLOOKUP(
    C60 &amp; "|" &amp; D60 &amp; "|" &amp; E60,
    단가표!$Q$2:$Q$387,
    단가표!$G$2:$G$387,
    0
)</f>
        <v>0</v>
      </c>
      <c r="W60" s="83">
        <f t="shared" si="9"/>
        <v>0</v>
      </c>
      <c r="X60" s="83">
        <f t="shared" si="10"/>
        <v>0</v>
      </c>
      <c r="Y60" s="37">
        <f t="shared" si="11"/>
        <v>0</v>
      </c>
    </row>
    <row r="61" spans="2:25" ht="26.45" customHeight="1">
      <c r="B61" s="35">
        <f t="shared" si="5"/>
        <v>49</v>
      </c>
      <c r="C61" s="43"/>
      <c r="D61" s="43"/>
      <c r="E61" s="44"/>
      <c r="F61" s="396"/>
      <c r="G61" s="39"/>
      <c r="H61" s="39"/>
      <c r="I61" s="356"/>
      <c r="J61" s="38"/>
      <c r="K61" s="56" t="str">
        <f>IF(V61=0,
    "판매가 없음",
    _xlfn.XLOOKUP(
        C61 &amp; "|" &amp; D61 &amp; "|" &amp; E61,
        단가표!$Q$2:$Q$387,
        단가표!$O$2:$O$387,
        "0"
    )
)</f>
        <v>판매가 없음</v>
      </c>
      <c r="L61" s="69">
        <f>_xlfn.XLOOKUP(
    C61 &amp; "|" &amp; D61 &amp; "|" &amp; E61,
    단가표!$Q$2:$Q$387,
    단가표!$I$2:$I$387,
   0
)</f>
        <v>0</v>
      </c>
      <c r="M61" s="379">
        <f>_xlfn.XLOOKUP(
    C61 &amp; "|" &amp; D61 &amp; "|" &amp; E61,
    단가표!$Q$2:$Q$387,
    단가표!$J$2:$J$387,
   0
)</f>
        <v>0</v>
      </c>
      <c r="N61" s="69">
        <f>_xlfn.XLOOKUP(
    C61 &amp; "|" &amp; D61 &amp; "|" &amp; E61,
    단가표!$Q$2:$Q$387,
    단가표!$K$2:$K$387,
   0
)</f>
        <v>0</v>
      </c>
      <c r="O61" s="56">
        <f t="shared" si="6"/>
        <v>0</v>
      </c>
      <c r="P61" s="56" t="str">
        <f>_xlfn.XLOOKUP(
    C61 &amp; "|" &amp; D61 &amp; "|" &amp; E61,
    단가표!$Q$2:$Q$387,
    단가표!$H$2:$H$387,
    "차열재 없음"
)</f>
        <v>차열재 없음</v>
      </c>
      <c r="Q61" s="56" t="str">
        <f>_xlfn.XLOOKUP(
    C61 &amp; "|" &amp; D61 &amp; "|" &amp; E61,
    단가표!$Q$2:$Q$387,
    단가표!$L$2:$L$387,
    "0"
)</f>
        <v>0</v>
      </c>
      <c r="R61" s="56" t="str">
        <f>_xlfn.XLOOKUP(
    C61 &amp; "|" &amp; D61 &amp; "|" &amp; E61,
    단가표!$Q$2:$Q$387,
    단가표!$M$2:$M$387,
    "0"
)</f>
        <v>0</v>
      </c>
      <c r="S61" s="56">
        <f t="shared" si="7"/>
        <v>0</v>
      </c>
      <c r="T61" s="106">
        <f>_xlfn.XLOOKUP(
    C61 &amp; "|" &amp; D61 &amp; "|" &amp; E61,
    단가표!$Q$2:$Q$387,
    단가표!$E$2:$E$387,
    0
)</f>
        <v>0</v>
      </c>
      <c r="U61" s="105">
        <f t="shared" si="8"/>
        <v>0</v>
      </c>
      <c r="V61" s="83">
        <f>_xlfn.XLOOKUP(
    C61 &amp; "|" &amp; D61 &amp; "|" &amp; E61,
    단가표!$Q$2:$Q$387,
    단가표!$G$2:$G$387,
    0
)</f>
        <v>0</v>
      </c>
      <c r="W61" s="83">
        <f t="shared" si="9"/>
        <v>0</v>
      </c>
      <c r="X61" s="83">
        <f t="shared" si="10"/>
        <v>0</v>
      </c>
      <c r="Y61" s="37">
        <f t="shared" si="11"/>
        <v>0</v>
      </c>
    </row>
    <row r="62" spans="2:25" ht="26.45" customHeight="1">
      <c r="B62" s="35">
        <f t="shared" si="5"/>
        <v>50</v>
      </c>
      <c r="C62" s="43"/>
      <c r="D62" s="43"/>
      <c r="E62" s="44"/>
      <c r="F62" s="396"/>
      <c r="G62" s="39"/>
      <c r="H62" s="39"/>
      <c r="I62" s="356"/>
      <c r="J62" s="38"/>
      <c r="K62" s="56" t="str">
        <f>IF(V62=0,
    "판매가 없음",
    _xlfn.XLOOKUP(
        C62 &amp; "|" &amp; D62 &amp; "|" &amp; E62,
        단가표!$Q$2:$Q$387,
        단가표!$O$2:$O$387,
        "0"
    )
)</f>
        <v>판매가 없음</v>
      </c>
      <c r="L62" s="69">
        <f>_xlfn.XLOOKUP(
    C62 &amp; "|" &amp; D62 &amp; "|" &amp; E62,
    단가표!$Q$2:$Q$387,
    단가표!$I$2:$I$387,
   0
)</f>
        <v>0</v>
      </c>
      <c r="M62" s="379">
        <f>_xlfn.XLOOKUP(
    C62 &amp; "|" &amp; D62 &amp; "|" &amp; E62,
    단가표!$Q$2:$Q$387,
    단가표!$J$2:$J$387,
   0
)</f>
        <v>0</v>
      </c>
      <c r="N62" s="69">
        <f>_xlfn.XLOOKUP(
    C62 &amp; "|" &amp; D62 &amp; "|" &amp; E62,
    단가표!$Q$2:$Q$387,
    단가표!$K$2:$K$387,
   0
)</f>
        <v>0</v>
      </c>
      <c r="O62" s="56">
        <f t="shared" si="6"/>
        <v>0</v>
      </c>
      <c r="P62" s="56" t="str">
        <f>_xlfn.XLOOKUP(
    C62 &amp; "|" &amp; D62 &amp; "|" &amp; E62,
    단가표!$Q$2:$Q$387,
    단가표!$H$2:$H$387,
    "차열재 없음"
)</f>
        <v>차열재 없음</v>
      </c>
      <c r="Q62" s="56" t="str">
        <f>_xlfn.XLOOKUP(
    C62 &amp; "|" &amp; D62 &amp; "|" &amp; E62,
    단가표!$Q$2:$Q$387,
    단가표!$L$2:$L$387,
    "0"
)</f>
        <v>0</v>
      </c>
      <c r="R62" s="56" t="str">
        <f>_xlfn.XLOOKUP(
    C62 &amp; "|" &amp; D62 &amp; "|" &amp; E62,
    단가표!$Q$2:$Q$387,
    단가표!$M$2:$M$387,
    "0"
)</f>
        <v>0</v>
      </c>
      <c r="S62" s="56">
        <f t="shared" si="7"/>
        <v>0</v>
      </c>
      <c r="T62" s="106">
        <f>_xlfn.XLOOKUP(
    C62 &amp; "|" &amp; D62 &amp; "|" &amp; E62,
    단가표!$Q$2:$Q$387,
    단가표!$E$2:$E$387,
    0
)</f>
        <v>0</v>
      </c>
      <c r="U62" s="105">
        <f t="shared" si="8"/>
        <v>0</v>
      </c>
      <c r="V62" s="83">
        <f>_xlfn.XLOOKUP(
    C62 &amp; "|" &amp; D62 &amp; "|" &amp; E62,
    단가표!$Q$2:$Q$387,
    단가표!$G$2:$G$387,
    0
)</f>
        <v>0</v>
      </c>
      <c r="W62" s="83">
        <f t="shared" si="9"/>
        <v>0</v>
      </c>
      <c r="X62" s="83">
        <f t="shared" si="10"/>
        <v>0</v>
      </c>
      <c r="Y62" s="37">
        <f t="shared" si="11"/>
        <v>0</v>
      </c>
    </row>
    <row r="63" spans="2:25" ht="26.45" customHeight="1">
      <c r="B63" s="35">
        <f t="shared" si="5"/>
        <v>51</v>
      </c>
      <c r="C63" s="43"/>
      <c r="D63" s="43"/>
      <c r="E63" s="44"/>
      <c r="F63" s="396"/>
      <c r="G63" s="39"/>
      <c r="H63" s="39"/>
      <c r="I63" s="356"/>
      <c r="J63" s="38"/>
      <c r="K63" s="56" t="str">
        <f>IF(V63=0,
    "판매가 없음",
    _xlfn.XLOOKUP(
        C63 &amp; "|" &amp; D63 &amp; "|" &amp; E63,
        단가표!$Q$2:$Q$387,
        단가표!$O$2:$O$387,
        "0"
    )
)</f>
        <v>판매가 없음</v>
      </c>
      <c r="L63" s="69">
        <f>_xlfn.XLOOKUP(
    C63 &amp; "|" &amp; D63 &amp; "|" &amp; E63,
    단가표!$Q$2:$Q$387,
    단가표!$I$2:$I$387,
   0
)</f>
        <v>0</v>
      </c>
      <c r="M63" s="379">
        <f>_xlfn.XLOOKUP(
    C63 &amp; "|" &amp; D63 &amp; "|" &amp; E63,
    단가표!$Q$2:$Q$387,
    단가표!$J$2:$J$387,
   0
)</f>
        <v>0</v>
      </c>
      <c r="N63" s="69">
        <f>_xlfn.XLOOKUP(
    C63 &amp; "|" &amp; D63 &amp; "|" &amp; E63,
    단가표!$Q$2:$Q$387,
    단가표!$K$2:$K$387,
   0
)</f>
        <v>0</v>
      </c>
      <c r="O63" s="56">
        <f t="shared" si="6"/>
        <v>0</v>
      </c>
      <c r="P63" s="56" t="str">
        <f>_xlfn.XLOOKUP(
    C63 &amp; "|" &amp; D63 &amp; "|" &amp; E63,
    단가표!$Q$2:$Q$387,
    단가표!$H$2:$H$387,
    "차열재 없음"
)</f>
        <v>차열재 없음</v>
      </c>
      <c r="Q63" s="56" t="str">
        <f>_xlfn.XLOOKUP(
    C63 &amp; "|" &amp; D63 &amp; "|" &amp; E63,
    단가표!$Q$2:$Q$387,
    단가표!$L$2:$L$387,
    "0"
)</f>
        <v>0</v>
      </c>
      <c r="R63" s="56" t="str">
        <f>_xlfn.XLOOKUP(
    C63 &amp; "|" &amp; D63 &amp; "|" &amp; E63,
    단가표!$Q$2:$Q$387,
    단가표!$M$2:$M$387,
    "0"
)</f>
        <v>0</v>
      </c>
      <c r="S63" s="56">
        <f t="shared" si="7"/>
        <v>0</v>
      </c>
      <c r="T63" s="106">
        <f>_xlfn.XLOOKUP(
    C63 &amp; "|" &amp; D63 &amp; "|" &amp; E63,
    단가표!$Q$2:$Q$387,
    단가표!$E$2:$E$387,
    0
)</f>
        <v>0</v>
      </c>
      <c r="U63" s="105">
        <f t="shared" si="8"/>
        <v>0</v>
      </c>
      <c r="V63" s="83">
        <f>_xlfn.XLOOKUP(
    C63 &amp; "|" &amp; D63 &amp; "|" &amp; E63,
    단가표!$Q$2:$Q$387,
    단가표!$G$2:$G$387,
    0
)</f>
        <v>0</v>
      </c>
      <c r="W63" s="83">
        <f t="shared" si="9"/>
        <v>0</v>
      </c>
      <c r="X63" s="83">
        <f t="shared" si="10"/>
        <v>0</v>
      </c>
      <c r="Y63" s="37">
        <f t="shared" si="11"/>
        <v>0</v>
      </c>
    </row>
    <row r="64" spans="2:25" ht="26.45" customHeight="1">
      <c r="B64" s="35">
        <f t="shared" si="5"/>
        <v>52</v>
      </c>
      <c r="C64" s="43"/>
      <c r="D64" s="43"/>
      <c r="E64" s="44"/>
      <c r="F64" s="396"/>
      <c r="G64" s="39"/>
      <c r="H64" s="39"/>
      <c r="I64" s="356"/>
      <c r="J64" s="38"/>
      <c r="K64" s="56" t="str">
        <f>IF(V64=0,
    "판매가 없음",
    _xlfn.XLOOKUP(
        C64 &amp; "|" &amp; D64 &amp; "|" &amp; E64,
        단가표!$Q$2:$Q$387,
        단가표!$O$2:$O$387,
        "0"
    )
)</f>
        <v>판매가 없음</v>
      </c>
      <c r="L64" s="69">
        <f>_xlfn.XLOOKUP(
    C64 &amp; "|" &amp; D64 &amp; "|" &amp; E64,
    단가표!$Q$2:$Q$387,
    단가표!$I$2:$I$387,
   0
)</f>
        <v>0</v>
      </c>
      <c r="M64" s="379">
        <f>_xlfn.XLOOKUP(
    C64 &amp; "|" &amp; D64 &amp; "|" &amp; E64,
    단가표!$Q$2:$Q$387,
    단가표!$J$2:$J$387,
   0
)</f>
        <v>0</v>
      </c>
      <c r="N64" s="69">
        <f>_xlfn.XLOOKUP(
    C64 &amp; "|" &amp; D64 &amp; "|" &amp; E64,
    단가표!$Q$2:$Q$387,
    단가표!$K$2:$K$387,
   0
)</f>
        <v>0</v>
      </c>
      <c r="O64" s="56">
        <f t="shared" si="6"/>
        <v>0</v>
      </c>
      <c r="P64" s="56" t="str">
        <f>_xlfn.XLOOKUP(
    C64 &amp; "|" &amp; D64 &amp; "|" &amp; E64,
    단가표!$Q$2:$Q$387,
    단가표!$H$2:$H$387,
    "차열재 없음"
)</f>
        <v>차열재 없음</v>
      </c>
      <c r="Q64" s="56" t="str">
        <f>_xlfn.XLOOKUP(
    C64 &amp; "|" &amp; D64 &amp; "|" &amp; E64,
    단가표!$Q$2:$Q$387,
    단가표!$L$2:$L$387,
    "0"
)</f>
        <v>0</v>
      </c>
      <c r="R64" s="56" t="str">
        <f>_xlfn.XLOOKUP(
    C64 &amp; "|" &amp; D64 &amp; "|" &amp; E64,
    단가표!$Q$2:$Q$387,
    단가표!$M$2:$M$387,
    "0"
)</f>
        <v>0</v>
      </c>
      <c r="S64" s="56">
        <f t="shared" si="7"/>
        <v>0</v>
      </c>
      <c r="T64" s="106">
        <f>_xlfn.XLOOKUP(
    C64 &amp; "|" &amp; D64 &amp; "|" &amp; E64,
    단가표!$Q$2:$Q$387,
    단가표!$E$2:$E$387,
    0
)</f>
        <v>0</v>
      </c>
      <c r="U64" s="105">
        <f t="shared" si="8"/>
        <v>0</v>
      </c>
      <c r="V64" s="83">
        <f>_xlfn.XLOOKUP(
    C64 &amp; "|" &amp; D64 &amp; "|" &amp; E64,
    단가표!$Q$2:$Q$387,
    단가표!$G$2:$G$387,
    0
)</f>
        <v>0</v>
      </c>
      <c r="W64" s="83">
        <f t="shared" si="9"/>
        <v>0</v>
      </c>
      <c r="X64" s="83">
        <f t="shared" si="10"/>
        <v>0</v>
      </c>
      <c r="Y64" s="37">
        <f t="shared" si="11"/>
        <v>0</v>
      </c>
    </row>
    <row r="65" spans="2:25" ht="26.45" customHeight="1">
      <c r="B65" s="35">
        <f t="shared" si="5"/>
        <v>53</v>
      </c>
      <c r="C65" s="43"/>
      <c r="D65" s="43"/>
      <c r="E65" s="44"/>
      <c r="F65" s="396"/>
      <c r="G65" s="39"/>
      <c r="H65" s="39"/>
      <c r="I65" s="356"/>
      <c r="J65" s="38"/>
      <c r="K65" s="56" t="str">
        <f>IF(V65=0,
    "판매가 없음",
    _xlfn.XLOOKUP(
        C65 &amp; "|" &amp; D65 &amp; "|" &amp; E65,
        단가표!$Q$2:$Q$387,
        단가표!$O$2:$O$387,
        "0"
    )
)</f>
        <v>판매가 없음</v>
      </c>
      <c r="L65" s="69">
        <f>_xlfn.XLOOKUP(
    C65 &amp; "|" &amp; D65 &amp; "|" &amp; E65,
    단가표!$Q$2:$Q$387,
    단가표!$I$2:$I$387,
   0
)</f>
        <v>0</v>
      </c>
      <c r="M65" s="379">
        <f>_xlfn.XLOOKUP(
    C65 &amp; "|" &amp; D65 &amp; "|" &amp; E65,
    단가표!$Q$2:$Q$387,
    단가표!$J$2:$J$387,
   0
)</f>
        <v>0</v>
      </c>
      <c r="N65" s="69">
        <f>_xlfn.XLOOKUP(
    C65 &amp; "|" &amp; D65 &amp; "|" &amp; E65,
    단가표!$Q$2:$Q$387,
    단가표!$K$2:$K$387,
   0
)</f>
        <v>0</v>
      </c>
      <c r="O65" s="56">
        <f t="shared" si="6"/>
        <v>0</v>
      </c>
      <c r="P65" s="56" t="str">
        <f>_xlfn.XLOOKUP(
    C65 &amp; "|" &amp; D65 &amp; "|" &amp; E65,
    단가표!$Q$2:$Q$387,
    단가표!$H$2:$H$387,
    "차열재 없음"
)</f>
        <v>차열재 없음</v>
      </c>
      <c r="Q65" s="56" t="str">
        <f>_xlfn.XLOOKUP(
    C65 &amp; "|" &amp; D65 &amp; "|" &amp; E65,
    단가표!$Q$2:$Q$387,
    단가표!$L$2:$L$387,
    "0"
)</f>
        <v>0</v>
      </c>
      <c r="R65" s="56" t="str">
        <f>_xlfn.XLOOKUP(
    C65 &amp; "|" &amp; D65 &amp; "|" &amp; E65,
    단가표!$Q$2:$Q$387,
    단가표!$M$2:$M$387,
    "0"
)</f>
        <v>0</v>
      </c>
      <c r="S65" s="56">
        <f t="shared" si="7"/>
        <v>0</v>
      </c>
      <c r="T65" s="106">
        <f>_xlfn.XLOOKUP(
    C65 &amp; "|" &amp; D65 &amp; "|" &amp; E65,
    단가표!$Q$2:$Q$387,
    단가표!$E$2:$E$387,
    0
)</f>
        <v>0</v>
      </c>
      <c r="U65" s="105">
        <f t="shared" si="8"/>
        <v>0</v>
      </c>
      <c r="V65" s="83">
        <f>_xlfn.XLOOKUP(
    C65 &amp; "|" &amp; D65 &amp; "|" &amp; E65,
    단가표!$Q$2:$Q$387,
    단가표!$G$2:$G$387,
    0
)</f>
        <v>0</v>
      </c>
      <c r="W65" s="83">
        <f t="shared" si="9"/>
        <v>0</v>
      </c>
      <c r="X65" s="83">
        <f t="shared" si="10"/>
        <v>0</v>
      </c>
      <c r="Y65" s="37">
        <f t="shared" si="11"/>
        <v>0</v>
      </c>
    </row>
    <row r="66" spans="2:25" ht="26.45" customHeight="1">
      <c r="B66" s="35">
        <f t="shared" si="5"/>
        <v>54</v>
      </c>
      <c r="C66" s="43"/>
      <c r="D66" s="43"/>
      <c r="E66" s="44"/>
      <c r="F66" s="396"/>
      <c r="G66" s="39"/>
      <c r="H66" s="39"/>
      <c r="I66" s="356"/>
      <c r="J66" s="38"/>
      <c r="K66" s="56" t="str">
        <f>IF(V66=0,
    "판매가 없음",
    _xlfn.XLOOKUP(
        C66 &amp; "|" &amp; D66 &amp; "|" &amp; E66,
        단가표!$Q$2:$Q$387,
        단가표!$O$2:$O$387,
        "0"
    )
)</f>
        <v>판매가 없음</v>
      </c>
      <c r="L66" s="69">
        <f>_xlfn.XLOOKUP(
    C66 &amp; "|" &amp; D66 &amp; "|" &amp; E66,
    단가표!$Q$2:$Q$387,
    단가표!$I$2:$I$387,
   0
)</f>
        <v>0</v>
      </c>
      <c r="M66" s="379">
        <f>_xlfn.XLOOKUP(
    C66 &amp; "|" &amp; D66 &amp; "|" &amp; E66,
    단가표!$Q$2:$Q$387,
    단가표!$J$2:$J$387,
   0
)</f>
        <v>0</v>
      </c>
      <c r="N66" s="69">
        <f>_xlfn.XLOOKUP(
    C66 &amp; "|" &amp; D66 &amp; "|" &amp; E66,
    단가표!$Q$2:$Q$387,
    단가표!$K$2:$K$387,
   0
)</f>
        <v>0</v>
      </c>
      <c r="O66" s="56">
        <f t="shared" si="6"/>
        <v>0</v>
      </c>
      <c r="P66" s="56" t="str">
        <f>_xlfn.XLOOKUP(
    C66 &amp; "|" &amp; D66 &amp; "|" &amp; E66,
    단가표!$Q$2:$Q$387,
    단가표!$H$2:$H$387,
    "차열재 없음"
)</f>
        <v>차열재 없음</v>
      </c>
      <c r="Q66" s="56" t="str">
        <f>_xlfn.XLOOKUP(
    C66 &amp; "|" &amp; D66 &amp; "|" &amp; E66,
    단가표!$Q$2:$Q$387,
    단가표!$L$2:$L$387,
    "0"
)</f>
        <v>0</v>
      </c>
      <c r="R66" s="56" t="str">
        <f>_xlfn.XLOOKUP(
    C66 &amp; "|" &amp; D66 &amp; "|" &amp; E66,
    단가표!$Q$2:$Q$387,
    단가표!$M$2:$M$387,
    "0"
)</f>
        <v>0</v>
      </c>
      <c r="S66" s="56">
        <f t="shared" si="7"/>
        <v>0</v>
      </c>
      <c r="T66" s="106">
        <f>_xlfn.XLOOKUP(
    C66 &amp; "|" &amp; D66 &amp; "|" &amp; E66,
    단가표!$Q$2:$Q$387,
    단가표!$E$2:$E$387,
    0
)</f>
        <v>0</v>
      </c>
      <c r="U66" s="105">
        <f t="shared" si="8"/>
        <v>0</v>
      </c>
      <c r="V66" s="83">
        <f>_xlfn.XLOOKUP(
    C66 &amp; "|" &amp; D66 &amp; "|" &amp; E66,
    단가표!$Q$2:$Q$387,
    단가표!$G$2:$G$387,
    0
)</f>
        <v>0</v>
      </c>
      <c r="W66" s="83">
        <f t="shared" si="9"/>
        <v>0</v>
      </c>
      <c r="X66" s="83">
        <f t="shared" si="10"/>
        <v>0</v>
      </c>
      <c r="Y66" s="37">
        <f t="shared" si="11"/>
        <v>0</v>
      </c>
    </row>
    <row r="67" spans="2:25" ht="26.45" customHeight="1">
      <c r="B67" s="35">
        <f t="shared" si="5"/>
        <v>55</v>
      </c>
      <c r="C67" s="43"/>
      <c r="D67" s="43"/>
      <c r="E67" s="44"/>
      <c r="F67" s="396"/>
      <c r="G67" s="39"/>
      <c r="H67" s="39"/>
      <c r="I67" s="356"/>
      <c r="J67" s="38"/>
      <c r="K67" s="56" t="str">
        <f>IF(V67=0,
    "판매가 없음",
    _xlfn.XLOOKUP(
        C67 &amp; "|" &amp; D67 &amp; "|" &amp; E67,
        단가표!$Q$2:$Q$387,
        단가표!$O$2:$O$387,
        "0"
    )
)</f>
        <v>판매가 없음</v>
      </c>
      <c r="L67" s="69">
        <f>_xlfn.XLOOKUP(
    C67 &amp; "|" &amp; D67 &amp; "|" &amp; E67,
    단가표!$Q$2:$Q$387,
    단가표!$I$2:$I$387,
   0
)</f>
        <v>0</v>
      </c>
      <c r="M67" s="379">
        <f>_xlfn.XLOOKUP(
    C67 &amp; "|" &amp; D67 &amp; "|" &amp; E67,
    단가표!$Q$2:$Q$387,
    단가표!$J$2:$J$387,
   0
)</f>
        <v>0</v>
      </c>
      <c r="N67" s="69">
        <f>_xlfn.XLOOKUP(
    C67 &amp; "|" &amp; D67 &amp; "|" &amp; E67,
    단가표!$Q$2:$Q$387,
    단가표!$K$2:$K$387,
   0
)</f>
        <v>0</v>
      </c>
      <c r="O67" s="56">
        <f t="shared" si="6"/>
        <v>0</v>
      </c>
      <c r="P67" s="56" t="str">
        <f>_xlfn.XLOOKUP(
    C67 &amp; "|" &amp; D67 &amp; "|" &amp; E67,
    단가표!$Q$2:$Q$387,
    단가표!$H$2:$H$387,
    "차열재 없음"
)</f>
        <v>차열재 없음</v>
      </c>
      <c r="Q67" s="56" t="str">
        <f>_xlfn.XLOOKUP(
    C67 &amp; "|" &amp; D67 &amp; "|" &amp; E67,
    단가표!$Q$2:$Q$387,
    단가표!$L$2:$L$387,
    "0"
)</f>
        <v>0</v>
      </c>
      <c r="R67" s="56" t="str">
        <f>_xlfn.XLOOKUP(
    C67 &amp; "|" &amp; D67 &amp; "|" &amp; E67,
    단가표!$Q$2:$Q$387,
    단가표!$M$2:$M$387,
    "0"
)</f>
        <v>0</v>
      </c>
      <c r="S67" s="56">
        <f t="shared" si="7"/>
        <v>0</v>
      </c>
      <c r="T67" s="106">
        <f>_xlfn.XLOOKUP(
    C67 &amp; "|" &amp; D67 &amp; "|" &amp; E67,
    단가표!$Q$2:$Q$387,
    단가표!$E$2:$E$387,
    0
)</f>
        <v>0</v>
      </c>
      <c r="U67" s="105">
        <f t="shared" si="8"/>
        <v>0</v>
      </c>
      <c r="V67" s="83">
        <f>_xlfn.XLOOKUP(
    C67 &amp; "|" &amp; D67 &amp; "|" &amp; E67,
    단가표!$Q$2:$Q$387,
    단가표!$G$2:$G$387,
    0
)</f>
        <v>0</v>
      </c>
      <c r="W67" s="83">
        <f t="shared" si="9"/>
        <v>0</v>
      </c>
      <c r="X67" s="83">
        <f t="shared" si="10"/>
        <v>0</v>
      </c>
      <c r="Y67" s="37">
        <f t="shared" si="11"/>
        <v>0</v>
      </c>
    </row>
    <row r="68" spans="2:25" ht="26.45" customHeight="1">
      <c r="B68" s="35">
        <f t="shared" si="5"/>
        <v>56</v>
      </c>
      <c r="C68" s="43"/>
      <c r="D68" s="43"/>
      <c r="E68" s="44"/>
      <c r="F68" s="396"/>
      <c r="G68" s="39"/>
      <c r="H68" s="39"/>
      <c r="I68" s="356"/>
      <c r="J68" s="38"/>
      <c r="K68" s="56" t="str">
        <f>IF(V68=0,
    "판매가 없음",
    _xlfn.XLOOKUP(
        C68 &amp; "|" &amp; D68 &amp; "|" &amp; E68,
        단가표!$Q$2:$Q$387,
        단가표!$O$2:$O$387,
        "0"
    )
)</f>
        <v>판매가 없음</v>
      </c>
      <c r="L68" s="69">
        <f>_xlfn.XLOOKUP(
    C68 &amp; "|" &amp; D68 &amp; "|" &amp; E68,
    단가표!$Q$2:$Q$387,
    단가표!$I$2:$I$387,
   0
)</f>
        <v>0</v>
      </c>
      <c r="M68" s="379">
        <f>_xlfn.XLOOKUP(
    C68 &amp; "|" &amp; D68 &amp; "|" &amp; E68,
    단가표!$Q$2:$Q$387,
    단가표!$J$2:$J$387,
   0
)</f>
        <v>0</v>
      </c>
      <c r="N68" s="69">
        <f>_xlfn.XLOOKUP(
    C68 &amp; "|" &amp; D68 &amp; "|" &amp; E68,
    단가표!$Q$2:$Q$387,
    단가표!$K$2:$K$387,
   0
)</f>
        <v>0</v>
      </c>
      <c r="O68" s="56">
        <f t="shared" si="6"/>
        <v>0</v>
      </c>
      <c r="P68" s="56" t="str">
        <f>_xlfn.XLOOKUP(
    C68 &amp; "|" &amp; D68 &amp; "|" &amp; E68,
    단가표!$Q$2:$Q$387,
    단가표!$H$2:$H$387,
    "차열재 없음"
)</f>
        <v>차열재 없음</v>
      </c>
      <c r="Q68" s="56" t="str">
        <f>_xlfn.XLOOKUP(
    C68 &amp; "|" &amp; D68 &amp; "|" &amp; E68,
    단가표!$Q$2:$Q$387,
    단가표!$L$2:$L$387,
    "0"
)</f>
        <v>0</v>
      </c>
      <c r="R68" s="56" t="str">
        <f>_xlfn.XLOOKUP(
    C68 &amp; "|" &amp; D68 &amp; "|" &amp; E68,
    단가표!$Q$2:$Q$387,
    단가표!$M$2:$M$387,
    "0"
)</f>
        <v>0</v>
      </c>
      <c r="S68" s="56">
        <f t="shared" si="7"/>
        <v>0</v>
      </c>
      <c r="T68" s="106">
        <f>_xlfn.XLOOKUP(
    C68 &amp; "|" &amp; D68 &amp; "|" &amp; E68,
    단가표!$Q$2:$Q$387,
    단가표!$E$2:$E$387,
    0
)</f>
        <v>0</v>
      </c>
      <c r="U68" s="105">
        <f t="shared" si="8"/>
        <v>0</v>
      </c>
      <c r="V68" s="83">
        <f>_xlfn.XLOOKUP(
    C68 &amp; "|" &amp; D68 &amp; "|" &amp; E68,
    단가표!$Q$2:$Q$387,
    단가표!$G$2:$G$387,
    0
)</f>
        <v>0</v>
      </c>
      <c r="W68" s="83">
        <f t="shared" si="9"/>
        <v>0</v>
      </c>
      <c r="X68" s="83">
        <f t="shared" si="10"/>
        <v>0</v>
      </c>
      <c r="Y68" s="37">
        <f t="shared" si="11"/>
        <v>0</v>
      </c>
    </row>
    <row r="69" spans="2:25" ht="26.45" customHeight="1">
      <c r="B69" s="35">
        <f t="shared" si="5"/>
        <v>57</v>
      </c>
      <c r="C69" s="43"/>
      <c r="D69" s="43"/>
      <c r="E69" s="44"/>
      <c r="F69" s="396"/>
      <c r="G69" s="39"/>
      <c r="H69" s="39"/>
      <c r="I69" s="356"/>
      <c r="J69" s="38"/>
      <c r="K69" s="56" t="str">
        <f>IF(V69=0,
    "판매가 없음",
    _xlfn.XLOOKUP(
        C69 &amp; "|" &amp; D69 &amp; "|" &amp; E69,
        단가표!$Q$2:$Q$387,
        단가표!$O$2:$O$387,
        "0"
    )
)</f>
        <v>판매가 없음</v>
      </c>
      <c r="L69" s="69">
        <f>_xlfn.XLOOKUP(
    C69 &amp; "|" &amp; D69 &amp; "|" &amp; E69,
    단가표!$Q$2:$Q$387,
    단가표!$I$2:$I$387,
   0
)</f>
        <v>0</v>
      </c>
      <c r="M69" s="379">
        <f>_xlfn.XLOOKUP(
    C69 &amp; "|" &amp; D69 &amp; "|" &amp; E69,
    단가표!$Q$2:$Q$387,
    단가표!$J$2:$J$387,
   0
)</f>
        <v>0</v>
      </c>
      <c r="N69" s="69">
        <f>_xlfn.XLOOKUP(
    C69 &amp; "|" &amp; D69 &amp; "|" &amp; E69,
    단가표!$Q$2:$Q$387,
    단가표!$K$2:$K$387,
   0
)</f>
        <v>0</v>
      </c>
      <c r="O69" s="56">
        <f t="shared" si="6"/>
        <v>0</v>
      </c>
      <c r="P69" s="56" t="str">
        <f>_xlfn.XLOOKUP(
    C69 &amp; "|" &amp; D69 &amp; "|" &amp; E69,
    단가표!$Q$2:$Q$387,
    단가표!$H$2:$H$387,
    "차열재 없음"
)</f>
        <v>차열재 없음</v>
      </c>
      <c r="Q69" s="56" t="str">
        <f>_xlfn.XLOOKUP(
    C69 &amp; "|" &amp; D69 &amp; "|" &amp; E69,
    단가표!$Q$2:$Q$387,
    단가표!$L$2:$L$387,
    "0"
)</f>
        <v>0</v>
      </c>
      <c r="R69" s="56" t="str">
        <f>_xlfn.XLOOKUP(
    C69 &amp; "|" &amp; D69 &amp; "|" &amp; E69,
    단가표!$Q$2:$Q$387,
    단가표!$M$2:$M$387,
    "0"
)</f>
        <v>0</v>
      </c>
      <c r="S69" s="56">
        <f t="shared" si="7"/>
        <v>0</v>
      </c>
      <c r="T69" s="106">
        <f>_xlfn.XLOOKUP(
    C69 &amp; "|" &amp; D69 &amp; "|" &amp; E69,
    단가표!$Q$2:$Q$387,
    단가표!$E$2:$E$387,
    0
)</f>
        <v>0</v>
      </c>
      <c r="U69" s="105">
        <f t="shared" si="8"/>
        <v>0</v>
      </c>
      <c r="V69" s="83">
        <f>_xlfn.XLOOKUP(
    C69 &amp; "|" &amp; D69 &amp; "|" &amp; E69,
    단가표!$Q$2:$Q$387,
    단가표!$G$2:$G$387,
    0
)</f>
        <v>0</v>
      </c>
      <c r="W69" s="83">
        <f t="shared" si="9"/>
        <v>0</v>
      </c>
      <c r="X69" s="83">
        <f t="shared" si="10"/>
        <v>0</v>
      </c>
      <c r="Y69" s="37">
        <f t="shared" si="11"/>
        <v>0</v>
      </c>
    </row>
    <row r="70" spans="2:25" ht="26.45" customHeight="1">
      <c r="B70" s="35">
        <f t="shared" si="5"/>
        <v>58</v>
      </c>
      <c r="C70" s="43"/>
      <c r="D70" s="43"/>
      <c r="E70" s="44"/>
      <c r="F70" s="396"/>
      <c r="G70" s="39"/>
      <c r="H70" s="39"/>
      <c r="I70" s="356"/>
      <c r="J70" s="38"/>
      <c r="K70" s="56" t="str">
        <f>IF(V70=0,
    "판매가 없음",
    _xlfn.XLOOKUP(
        C70 &amp; "|" &amp; D70 &amp; "|" &amp; E70,
        단가표!$Q$2:$Q$387,
        단가표!$O$2:$O$387,
        "0"
    )
)</f>
        <v>판매가 없음</v>
      </c>
      <c r="L70" s="69">
        <f>_xlfn.XLOOKUP(
    C70 &amp; "|" &amp; D70 &amp; "|" &amp; E70,
    단가표!$Q$2:$Q$387,
    단가표!$I$2:$I$387,
   0
)</f>
        <v>0</v>
      </c>
      <c r="M70" s="379">
        <f>_xlfn.XLOOKUP(
    C70 &amp; "|" &amp; D70 &amp; "|" &amp; E70,
    단가표!$Q$2:$Q$387,
    단가표!$J$2:$J$387,
   0
)</f>
        <v>0</v>
      </c>
      <c r="N70" s="69">
        <f>_xlfn.XLOOKUP(
    C70 &amp; "|" &amp; D70 &amp; "|" &amp; E70,
    단가표!$Q$2:$Q$387,
    단가표!$K$2:$K$387,
   0
)</f>
        <v>0</v>
      </c>
      <c r="O70" s="56">
        <f t="shared" si="6"/>
        <v>0</v>
      </c>
      <c r="P70" s="56" t="str">
        <f>_xlfn.XLOOKUP(
    C70 &amp; "|" &amp; D70 &amp; "|" &amp; E70,
    단가표!$Q$2:$Q$387,
    단가표!$H$2:$H$387,
    "차열재 없음"
)</f>
        <v>차열재 없음</v>
      </c>
      <c r="Q70" s="56" t="str">
        <f>_xlfn.XLOOKUP(
    C70 &amp; "|" &amp; D70 &amp; "|" &amp; E70,
    단가표!$Q$2:$Q$387,
    단가표!$L$2:$L$387,
    "0"
)</f>
        <v>0</v>
      </c>
      <c r="R70" s="56" t="str">
        <f>_xlfn.XLOOKUP(
    C70 &amp; "|" &amp; D70 &amp; "|" &amp; E70,
    단가표!$Q$2:$Q$387,
    단가표!$M$2:$M$387,
    "0"
)</f>
        <v>0</v>
      </c>
      <c r="S70" s="56">
        <f t="shared" si="7"/>
        <v>0</v>
      </c>
      <c r="T70" s="106">
        <f>_xlfn.XLOOKUP(
    C70 &amp; "|" &amp; D70 &amp; "|" &amp; E70,
    단가표!$Q$2:$Q$387,
    단가표!$E$2:$E$387,
    0
)</f>
        <v>0</v>
      </c>
      <c r="U70" s="105">
        <f t="shared" si="8"/>
        <v>0</v>
      </c>
      <c r="V70" s="83">
        <f>_xlfn.XLOOKUP(
    C70 &amp; "|" &amp; D70 &amp; "|" &amp; E70,
    단가표!$Q$2:$Q$387,
    단가표!$G$2:$G$387,
    0
)</f>
        <v>0</v>
      </c>
      <c r="W70" s="83">
        <f t="shared" si="9"/>
        <v>0</v>
      </c>
      <c r="X70" s="83">
        <f t="shared" si="10"/>
        <v>0</v>
      </c>
      <c r="Y70" s="37">
        <f t="shared" si="11"/>
        <v>0</v>
      </c>
    </row>
    <row r="71" spans="2:25" ht="26.45" customHeight="1">
      <c r="B71" s="35">
        <f t="shared" si="5"/>
        <v>59</v>
      </c>
      <c r="C71" s="43"/>
      <c r="D71" s="43"/>
      <c r="E71" s="44"/>
      <c r="F71" s="396"/>
      <c r="G71" s="39"/>
      <c r="H71" s="39"/>
      <c r="I71" s="356"/>
      <c r="J71" s="38"/>
      <c r="K71" s="56" t="str">
        <f>IF(V71=0,
    "판매가 없음",
    _xlfn.XLOOKUP(
        C71 &amp; "|" &amp; D71 &amp; "|" &amp; E71,
        단가표!$Q$2:$Q$387,
        단가표!$O$2:$O$387,
        "0"
    )
)</f>
        <v>판매가 없음</v>
      </c>
      <c r="L71" s="69">
        <f>_xlfn.XLOOKUP(
    C71 &amp; "|" &amp; D71 &amp; "|" &amp; E71,
    단가표!$Q$2:$Q$387,
    단가표!$I$2:$I$387,
   0
)</f>
        <v>0</v>
      </c>
      <c r="M71" s="379">
        <f>_xlfn.XLOOKUP(
    C71 &amp; "|" &amp; D71 &amp; "|" &amp; E71,
    단가표!$Q$2:$Q$387,
    단가표!$J$2:$J$387,
   0
)</f>
        <v>0</v>
      </c>
      <c r="N71" s="69">
        <f>_xlfn.XLOOKUP(
    C71 &amp; "|" &amp; D71 &amp; "|" &amp; E71,
    단가표!$Q$2:$Q$387,
    단가표!$K$2:$K$387,
   0
)</f>
        <v>0</v>
      </c>
      <c r="O71" s="56">
        <f t="shared" si="6"/>
        <v>0</v>
      </c>
      <c r="P71" s="56" t="str">
        <f>_xlfn.XLOOKUP(
    C71 &amp; "|" &amp; D71 &amp; "|" &amp; E71,
    단가표!$Q$2:$Q$387,
    단가표!$H$2:$H$387,
    "차열재 없음"
)</f>
        <v>차열재 없음</v>
      </c>
      <c r="Q71" s="56" t="str">
        <f>_xlfn.XLOOKUP(
    C71 &amp; "|" &amp; D71 &amp; "|" &amp; E71,
    단가표!$Q$2:$Q$387,
    단가표!$L$2:$L$387,
    "0"
)</f>
        <v>0</v>
      </c>
      <c r="R71" s="56" t="str">
        <f>_xlfn.XLOOKUP(
    C71 &amp; "|" &amp; D71 &amp; "|" &amp; E71,
    단가표!$Q$2:$Q$387,
    단가표!$M$2:$M$387,
    "0"
)</f>
        <v>0</v>
      </c>
      <c r="S71" s="56">
        <f t="shared" si="7"/>
        <v>0</v>
      </c>
      <c r="T71" s="106">
        <f>_xlfn.XLOOKUP(
    C71 &amp; "|" &amp; D71 &amp; "|" &amp; E71,
    단가표!$Q$2:$Q$387,
    단가표!$E$2:$E$387,
    0
)</f>
        <v>0</v>
      </c>
      <c r="U71" s="105">
        <f t="shared" si="8"/>
        <v>0</v>
      </c>
      <c r="V71" s="83">
        <f>_xlfn.XLOOKUP(
    C71 &amp; "|" &amp; D71 &amp; "|" &amp; E71,
    단가표!$Q$2:$Q$387,
    단가표!$G$2:$G$387,
    0
)</f>
        <v>0</v>
      </c>
      <c r="W71" s="83">
        <f t="shared" si="9"/>
        <v>0</v>
      </c>
      <c r="X71" s="83">
        <f t="shared" si="10"/>
        <v>0</v>
      </c>
      <c r="Y71" s="37">
        <f t="shared" si="11"/>
        <v>0</v>
      </c>
    </row>
    <row r="72" spans="2:25" ht="26.45" customHeight="1">
      <c r="B72" s="35">
        <f t="shared" si="5"/>
        <v>60</v>
      </c>
      <c r="C72" s="43"/>
      <c r="D72" s="43"/>
      <c r="E72" s="44"/>
      <c r="F72" s="396"/>
      <c r="G72" s="39"/>
      <c r="H72" s="39"/>
      <c r="I72" s="356"/>
      <c r="J72" s="38"/>
      <c r="K72" s="56" t="str">
        <f>IF(V72=0,
    "판매가 없음",
    _xlfn.XLOOKUP(
        C72 &amp; "|" &amp; D72 &amp; "|" &amp; E72,
        단가표!$Q$2:$Q$387,
        단가표!$O$2:$O$387,
        "0"
    )
)</f>
        <v>판매가 없음</v>
      </c>
      <c r="L72" s="69">
        <f>_xlfn.XLOOKUP(
    C72 &amp; "|" &amp; D72 &amp; "|" &amp; E72,
    단가표!$Q$2:$Q$387,
    단가표!$I$2:$I$387,
   0
)</f>
        <v>0</v>
      </c>
      <c r="M72" s="379">
        <f>_xlfn.XLOOKUP(
    C72 &amp; "|" &amp; D72 &amp; "|" &amp; E72,
    단가표!$Q$2:$Q$387,
    단가표!$J$2:$J$387,
   0
)</f>
        <v>0</v>
      </c>
      <c r="N72" s="69">
        <f>_xlfn.XLOOKUP(
    C72 &amp; "|" &amp; D72 &amp; "|" &amp; E72,
    단가표!$Q$2:$Q$387,
    단가표!$K$2:$K$387,
   0
)</f>
        <v>0</v>
      </c>
      <c r="O72" s="56">
        <f t="shared" si="6"/>
        <v>0</v>
      </c>
      <c r="P72" s="56" t="str">
        <f>_xlfn.XLOOKUP(
    C72 &amp; "|" &amp; D72 &amp; "|" &amp; E72,
    단가표!$Q$2:$Q$387,
    단가표!$H$2:$H$387,
    "차열재 없음"
)</f>
        <v>차열재 없음</v>
      </c>
      <c r="Q72" s="56" t="str">
        <f>_xlfn.XLOOKUP(
    C72 &amp; "|" &amp; D72 &amp; "|" &amp; E72,
    단가표!$Q$2:$Q$387,
    단가표!$L$2:$L$387,
    "0"
)</f>
        <v>0</v>
      </c>
      <c r="R72" s="56" t="str">
        <f>_xlfn.XLOOKUP(
    C72 &amp; "|" &amp; D72 &amp; "|" &amp; E72,
    단가표!$Q$2:$Q$387,
    단가표!$M$2:$M$387,
    "0"
)</f>
        <v>0</v>
      </c>
      <c r="S72" s="56">
        <f t="shared" si="7"/>
        <v>0</v>
      </c>
      <c r="T72" s="106">
        <f>_xlfn.XLOOKUP(
    C72 &amp; "|" &amp; D72 &amp; "|" &amp; E72,
    단가표!$Q$2:$Q$387,
    단가표!$E$2:$E$387,
    0
)</f>
        <v>0</v>
      </c>
      <c r="U72" s="105">
        <f t="shared" si="8"/>
        <v>0</v>
      </c>
      <c r="V72" s="83">
        <f>_xlfn.XLOOKUP(
    C72 &amp; "|" &amp; D72 &amp; "|" &amp; E72,
    단가표!$Q$2:$Q$387,
    단가표!$G$2:$G$387,
    0
)</f>
        <v>0</v>
      </c>
      <c r="W72" s="83">
        <f t="shared" si="9"/>
        <v>0</v>
      </c>
      <c r="X72" s="83">
        <f t="shared" si="10"/>
        <v>0</v>
      </c>
      <c r="Y72" s="37">
        <f t="shared" si="11"/>
        <v>0</v>
      </c>
    </row>
    <row r="73" spans="2:25" ht="26.45" customHeight="1">
      <c r="B73" s="35">
        <f t="shared" si="5"/>
        <v>61</v>
      </c>
      <c r="C73" s="43"/>
      <c r="D73" s="43"/>
      <c r="E73" s="44"/>
      <c r="F73" s="396"/>
      <c r="G73" s="39"/>
      <c r="H73" s="39"/>
      <c r="I73" s="356"/>
      <c r="J73" s="38"/>
      <c r="K73" s="56" t="str">
        <f>IF(V73=0,
    "판매가 없음",
    _xlfn.XLOOKUP(
        C73 &amp; "|" &amp; D73 &amp; "|" &amp; E73,
        단가표!$Q$2:$Q$387,
        단가표!$O$2:$O$387,
        "0"
    )
)</f>
        <v>판매가 없음</v>
      </c>
      <c r="L73" s="69">
        <f>_xlfn.XLOOKUP(
    C73 &amp; "|" &amp; D73 &amp; "|" &amp; E73,
    단가표!$Q$2:$Q$387,
    단가표!$I$2:$I$387,
   0
)</f>
        <v>0</v>
      </c>
      <c r="M73" s="379">
        <f>_xlfn.XLOOKUP(
    C73 &amp; "|" &amp; D73 &amp; "|" &amp; E73,
    단가표!$Q$2:$Q$387,
    단가표!$J$2:$J$387,
   0
)</f>
        <v>0</v>
      </c>
      <c r="N73" s="69">
        <f>_xlfn.XLOOKUP(
    C73 &amp; "|" &amp; D73 &amp; "|" &amp; E73,
    단가표!$Q$2:$Q$387,
    단가표!$K$2:$K$387,
   0
)</f>
        <v>0</v>
      </c>
      <c r="O73" s="56">
        <f t="shared" si="6"/>
        <v>0</v>
      </c>
      <c r="P73" s="56" t="str">
        <f>_xlfn.XLOOKUP(
    C73 &amp; "|" &amp; D73 &amp; "|" &amp; E73,
    단가표!$Q$2:$Q$387,
    단가표!$H$2:$H$387,
    "차열재 없음"
)</f>
        <v>차열재 없음</v>
      </c>
      <c r="Q73" s="56" t="str">
        <f>_xlfn.XLOOKUP(
    C73 &amp; "|" &amp; D73 &amp; "|" &amp; E73,
    단가표!$Q$2:$Q$387,
    단가표!$L$2:$L$387,
    "0"
)</f>
        <v>0</v>
      </c>
      <c r="R73" s="56" t="str">
        <f>_xlfn.XLOOKUP(
    C73 &amp; "|" &amp; D73 &amp; "|" &amp; E73,
    단가표!$Q$2:$Q$387,
    단가표!$M$2:$M$387,
    "0"
)</f>
        <v>0</v>
      </c>
      <c r="S73" s="56">
        <f t="shared" si="7"/>
        <v>0</v>
      </c>
      <c r="T73" s="106">
        <f>_xlfn.XLOOKUP(
    C73 &amp; "|" &amp; D73 &amp; "|" &amp; E73,
    단가표!$Q$2:$Q$387,
    단가표!$E$2:$E$387,
    0
)</f>
        <v>0</v>
      </c>
      <c r="U73" s="105">
        <f t="shared" si="8"/>
        <v>0</v>
      </c>
      <c r="V73" s="83">
        <f>_xlfn.XLOOKUP(
    C73 &amp; "|" &amp; D73 &amp; "|" &amp; E73,
    단가표!$Q$2:$Q$387,
    단가표!$G$2:$G$387,
    0
)</f>
        <v>0</v>
      </c>
      <c r="W73" s="83">
        <f t="shared" si="9"/>
        <v>0</v>
      </c>
      <c r="X73" s="83">
        <f t="shared" si="10"/>
        <v>0</v>
      </c>
      <c r="Y73" s="37">
        <f t="shared" si="11"/>
        <v>0</v>
      </c>
    </row>
    <row r="74" spans="2:25" ht="26.45" customHeight="1">
      <c r="B74" s="35">
        <f t="shared" si="5"/>
        <v>62</v>
      </c>
      <c r="C74" s="43"/>
      <c r="D74" s="43"/>
      <c r="E74" s="44"/>
      <c r="F74" s="396"/>
      <c r="G74" s="39"/>
      <c r="H74" s="39"/>
      <c r="I74" s="356"/>
      <c r="J74" s="38"/>
      <c r="K74" s="56" t="str">
        <f>IF(V74=0,
    "판매가 없음",
    _xlfn.XLOOKUP(
        C74 &amp; "|" &amp; D74 &amp; "|" &amp; E74,
        단가표!$Q$2:$Q$387,
        단가표!$O$2:$O$387,
        "0"
    )
)</f>
        <v>판매가 없음</v>
      </c>
      <c r="L74" s="69">
        <f>_xlfn.XLOOKUP(
    C74 &amp; "|" &amp; D74 &amp; "|" &amp; E74,
    단가표!$Q$2:$Q$387,
    단가표!$I$2:$I$387,
   0
)</f>
        <v>0</v>
      </c>
      <c r="M74" s="379">
        <f>_xlfn.XLOOKUP(
    C74 &amp; "|" &amp; D74 &amp; "|" &amp; E74,
    단가표!$Q$2:$Q$387,
    단가표!$J$2:$J$387,
   0
)</f>
        <v>0</v>
      </c>
      <c r="N74" s="69">
        <f>_xlfn.XLOOKUP(
    C74 &amp; "|" &amp; D74 &amp; "|" &amp; E74,
    단가표!$Q$2:$Q$387,
    단가표!$K$2:$K$387,
   0
)</f>
        <v>0</v>
      </c>
      <c r="O74" s="56">
        <f t="shared" si="6"/>
        <v>0</v>
      </c>
      <c r="P74" s="56" t="str">
        <f>_xlfn.XLOOKUP(
    C74 &amp; "|" &amp; D74 &amp; "|" &amp; E74,
    단가표!$Q$2:$Q$387,
    단가표!$H$2:$H$387,
    "차열재 없음"
)</f>
        <v>차열재 없음</v>
      </c>
      <c r="Q74" s="56" t="str">
        <f>_xlfn.XLOOKUP(
    C74 &amp; "|" &amp; D74 &amp; "|" &amp; E74,
    단가표!$Q$2:$Q$387,
    단가표!$L$2:$L$387,
    "0"
)</f>
        <v>0</v>
      </c>
      <c r="R74" s="56" t="str">
        <f>_xlfn.XLOOKUP(
    C74 &amp; "|" &amp; D74 &amp; "|" &amp; E74,
    단가표!$Q$2:$Q$387,
    단가표!$M$2:$M$387,
    "0"
)</f>
        <v>0</v>
      </c>
      <c r="S74" s="56">
        <f t="shared" si="7"/>
        <v>0</v>
      </c>
      <c r="T74" s="106">
        <f>_xlfn.XLOOKUP(
    C74 &amp; "|" &amp; D74 &amp; "|" &amp; E74,
    단가표!$Q$2:$Q$387,
    단가표!$E$2:$E$387,
    0
)</f>
        <v>0</v>
      </c>
      <c r="U74" s="105">
        <f t="shared" si="8"/>
        <v>0</v>
      </c>
      <c r="V74" s="83">
        <f>_xlfn.XLOOKUP(
    C74 &amp; "|" &amp; D74 &amp; "|" &amp; E74,
    단가표!$Q$2:$Q$387,
    단가표!$G$2:$G$387,
    0
)</f>
        <v>0</v>
      </c>
      <c r="W74" s="83">
        <f t="shared" si="9"/>
        <v>0</v>
      </c>
      <c r="X74" s="83">
        <f t="shared" si="10"/>
        <v>0</v>
      </c>
      <c r="Y74" s="37">
        <f t="shared" si="11"/>
        <v>0</v>
      </c>
    </row>
    <row r="75" spans="2:25" ht="26.45" customHeight="1">
      <c r="B75" s="35">
        <f t="shared" si="5"/>
        <v>63</v>
      </c>
      <c r="C75" s="43"/>
      <c r="D75" s="43"/>
      <c r="E75" s="44"/>
      <c r="F75" s="396"/>
      <c r="G75" s="39"/>
      <c r="H75" s="39"/>
      <c r="I75" s="356"/>
      <c r="J75" s="38"/>
      <c r="K75" s="56" t="str">
        <f>IF(V75=0,
    "판매가 없음",
    _xlfn.XLOOKUP(
        C75 &amp; "|" &amp; D75 &amp; "|" &amp; E75,
        단가표!$Q$2:$Q$387,
        단가표!$O$2:$O$387,
        "0"
    )
)</f>
        <v>판매가 없음</v>
      </c>
      <c r="L75" s="69">
        <f>_xlfn.XLOOKUP(
    C75 &amp; "|" &amp; D75 &amp; "|" &amp; E75,
    단가표!$Q$2:$Q$387,
    단가표!$I$2:$I$387,
   0
)</f>
        <v>0</v>
      </c>
      <c r="M75" s="379">
        <f>_xlfn.XLOOKUP(
    C75 &amp; "|" &amp; D75 &amp; "|" &amp; E75,
    단가표!$Q$2:$Q$387,
    단가표!$J$2:$J$387,
   0
)</f>
        <v>0</v>
      </c>
      <c r="N75" s="69">
        <f>_xlfn.XLOOKUP(
    C75 &amp; "|" &amp; D75 &amp; "|" &amp; E75,
    단가표!$Q$2:$Q$387,
    단가표!$K$2:$K$387,
   0
)</f>
        <v>0</v>
      </c>
      <c r="O75" s="56">
        <f t="shared" si="6"/>
        <v>0</v>
      </c>
      <c r="P75" s="56" t="str">
        <f>_xlfn.XLOOKUP(
    C75 &amp; "|" &amp; D75 &amp; "|" &amp; E75,
    단가표!$Q$2:$Q$387,
    단가표!$H$2:$H$387,
    "차열재 없음"
)</f>
        <v>차열재 없음</v>
      </c>
      <c r="Q75" s="56" t="str">
        <f>_xlfn.XLOOKUP(
    C75 &amp; "|" &amp; D75 &amp; "|" &amp; E75,
    단가표!$Q$2:$Q$387,
    단가표!$L$2:$L$387,
    "0"
)</f>
        <v>0</v>
      </c>
      <c r="R75" s="56" t="str">
        <f>_xlfn.XLOOKUP(
    C75 &amp; "|" &amp; D75 &amp; "|" &amp; E75,
    단가표!$Q$2:$Q$387,
    단가표!$M$2:$M$387,
    "0"
)</f>
        <v>0</v>
      </c>
      <c r="S75" s="56">
        <f t="shared" si="7"/>
        <v>0</v>
      </c>
      <c r="T75" s="106">
        <f>_xlfn.XLOOKUP(
    C75 &amp; "|" &amp; D75 &amp; "|" &amp; E75,
    단가표!$Q$2:$Q$387,
    단가표!$E$2:$E$387,
    0
)</f>
        <v>0</v>
      </c>
      <c r="U75" s="105">
        <f t="shared" si="8"/>
        <v>0</v>
      </c>
      <c r="V75" s="83">
        <f>_xlfn.XLOOKUP(
    C75 &amp; "|" &amp; D75 &amp; "|" &amp; E75,
    단가표!$Q$2:$Q$387,
    단가표!$G$2:$G$387,
    0
)</f>
        <v>0</v>
      </c>
      <c r="W75" s="83">
        <f t="shared" si="9"/>
        <v>0</v>
      </c>
      <c r="X75" s="83">
        <f t="shared" si="10"/>
        <v>0</v>
      </c>
      <c r="Y75" s="37">
        <f t="shared" si="11"/>
        <v>0</v>
      </c>
    </row>
    <row r="76" spans="2:25" ht="26.45" customHeight="1">
      <c r="B76" s="35">
        <f t="shared" si="5"/>
        <v>64</v>
      </c>
      <c r="C76" s="43"/>
      <c r="D76" s="43"/>
      <c r="E76" s="44"/>
      <c r="F76" s="396"/>
      <c r="G76" s="39"/>
      <c r="H76" s="39"/>
      <c r="I76" s="356"/>
      <c r="J76" s="38"/>
      <c r="K76" s="56" t="str">
        <f>IF(V76=0,
    "판매가 없음",
    _xlfn.XLOOKUP(
        C76 &amp; "|" &amp; D76 &amp; "|" &amp; E76,
        단가표!$Q$2:$Q$387,
        단가표!$O$2:$O$387,
        "0"
    )
)</f>
        <v>판매가 없음</v>
      </c>
      <c r="L76" s="69">
        <f>_xlfn.XLOOKUP(
    C76 &amp; "|" &amp; D76 &amp; "|" &amp; E76,
    단가표!$Q$2:$Q$387,
    단가표!$I$2:$I$387,
   0
)</f>
        <v>0</v>
      </c>
      <c r="M76" s="379">
        <f>_xlfn.XLOOKUP(
    C76 &amp; "|" &amp; D76 &amp; "|" &amp; E76,
    단가표!$Q$2:$Q$387,
    단가표!$J$2:$J$387,
   0
)</f>
        <v>0</v>
      </c>
      <c r="N76" s="69">
        <f>_xlfn.XLOOKUP(
    C76 &amp; "|" &amp; D76 &amp; "|" &amp; E76,
    단가표!$Q$2:$Q$387,
    단가표!$K$2:$K$387,
   0
)</f>
        <v>0</v>
      </c>
      <c r="O76" s="56">
        <f t="shared" si="6"/>
        <v>0</v>
      </c>
      <c r="P76" s="56" t="str">
        <f>_xlfn.XLOOKUP(
    C76 &amp; "|" &amp; D76 &amp; "|" &amp; E76,
    단가표!$Q$2:$Q$387,
    단가표!$H$2:$H$387,
    "차열재 없음"
)</f>
        <v>차열재 없음</v>
      </c>
      <c r="Q76" s="56" t="str">
        <f>_xlfn.XLOOKUP(
    C76 &amp; "|" &amp; D76 &amp; "|" &amp; E76,
    단가표!$Q$2:$Q$387,
    단가표!$L$2:$L$387,
    "0"
)</f>
        <v>0</v>
      </c>
      <c r="R76" s="56" t="str">
        <f>_xlfn.XLOOKUP(
    C76 &amp; "|" &amp; D76 &amp; "|" &amp; E76,
    단가표!$Q$2:$Q$387,
    단가표!$M$2:$M$387,
    "0"
)</f>
        <v>0</v>
      </c>
      <c r="S76" s="56">
        <f t="shared" si="7"/>
        <v>0</v>
      </c>
      <c r="T76" s="106">
        <f>_xlfn.XLOOKUP(
    C76 &amp; "|" &amp; D76 &amp; "|" &amp; E76,
    단가표!$Q$2:$Q$387,
    단가표!$E$2:$E$387,
    0
)</f>
        <v>0</v>
      </c>
      <c r="U76" s="105">
        <f t="shared" si="8"/>
        <v>0</v>
      </c>
      <c r="V76" s="83">
        <f>_xlfn.XLOOKUP(
    C76 &amp; "|" &amp; D76 &amp; "|" &amp; E76,
    단가표!$Q$2:$Q$387,
    단가표!$G$2:$G$387,
    0
)</f>
        <v>0</v>
      </c>
      <c r="W76" s="83">
        <f t="shared" si="9"/>
        <v>0</v>
      </c>
      <c r="X76" s="83">
        <f t="shared" si="10"/>
        <v>0</v>
      </c>
      <c r="Y76" s="37">
        <f t="shared" si="11"/>
        <v>0</v>
      </c>
    </row>
    <row r="77" spans="2:25" ht="26.45" customHeight="1">
      <c r="B77" s="35">
        <f t="shared" si="5"/>
        <v>65</v>
      </c>
      <c r="C77" s="43"/>
      <c r="D77" s="43"/>
      <c r="E77" s="44"/>
      <c r="F77" s="396"/>
      <c r="G77" s="39"/>
      <c r="H77" s="39"/>
      <c r="I77" s="356"/>
      <c r="J77" s="38"/>
      <c r="K77" s="56" t="str">
        <f>IF(V77=0,
    "판매가 없음",
    _xlfn.XLOOKUP(
        C77 &amp; "|" &amp; D77 &amp; "|" &amp; E77,
        단가표!$Q$2:$Q$387,
        단가표!$O$2:$O$387,
        "0"
    )
)</f>
        <v>판매가 없음</v>
      </c>
      <c r="L77" s="69">
        <f>_xlfn.XLOOKUP(
    C77 &amp; "|" &amp; D77 &amp; "|" &amp; E77,
    단가표!$Q$2:$Q$387,
    단가표!$I$2:$I$387,
   0
)</f>
        <v>0</v>
      </c>
      <c r="M77" s="379">
        <f>_xlfn.XLOOKUP(
    C77 &amp; "|" &amp; D77 &amp; "|" &amp; E77,
    단가표!$Q$2:$Q$387,
    단가표!$J$2:$J$387,
   0
)</f>
        <v>0</v>
      </c>
      <c r="N77" s="69">
        <f>_xlfn.XLOOKUP(
    C77 &amp; "|" &amp; D77 &amp; "|" &amp; E77,
    단가표!$Q$2:$Q$387,
    단가표!$K$2:$K$387,
   0
)</f>
        <v>0</v>
      </c>
      <c r="O77" s="56">
        <f t="shared" si="6"/>
        <v>0</v>
      </c>
      <c r="P77" s="56" t="str">
        <f>_xlfn.XLOOKUP(
    C77 &amp; "|" &amp; D77 &amp; "|" &amp; E77,
    단가표!$Q$2:$Q$387,
    단가표!$H$2:$H$387,
    "차열재 없음"
)</f>
        <v>차열재 없음</v>
      </c>
      <c r="Q77" s="56" t="str">
        <f>_xlfn.XLOOKUP(
    C77 &amp; "|" &amp; D77 &amp; "|" &amp; E77,
    단가표!$Q$2:$Q$387,
    단가표!$L$2:$L$387,
    "0"
)</f>
        <v>0</v>
      </c>
      <c r="R77" s="56" t="str">
        <f>_xlfn.XLOOKUP(
    C77 &amp; "|" &amp; D77 &amp; "|" &amp; E77,
    단가표!$Q$2:$Q$387,
    단가표!$M$2:$M$387,
    "0"
)</f>
        <v>0</v>
      </c>
      <c r="S77" s="56">
        <f t="shared" si="7"/>
        <v>0</v>
      </c>
      <c r="T77" s="106">
        <f>_xlfn.XLOOKUP(
    C77 &amp; "|" &amp; D77 &amp; "|" &amp; E77,
    단가표!$Q$2:$Q$387,
    단가표!$E$2:$E$387,
    0
)</f>
        <v>0</v>
      </c>
      <c r="U77" s="105">
        <f t="shared" si="8"/>
        <v>0</v>
      </c>
      <c r="V77" s="83">
        <f>_xlfn.XLOOKUP(
    C77 &amp; "|" &amp; D77 &amp; "|" &amp; E77,
    단가표!$Q$2:$Q$387,
    단가표!$G$2:$G$387,
    0
)</f>
        <v>0</v>
      </c>
      <c r="W77" s="83">
        <f t="shared" si="9"/>
        <v>0</v>
      </c>
      <c r="X77" s="83">
        <f t="shared" si="10"/>
        <v>0</v>
      </c>
      <c r="Y77" s="37">
        <f t="shared" si="11"/>
        <v>0</v>
      </c>
    </row>
    <row r="78" spans="2:25" ht="26.45" customHeight="1">
      <c r="B78" s="35">
        <f t="shared" si="5"/>
        <v>66</v>
      </c>
      <c r="C78" s="43"/>
      <c r="D78" s="43"/>
      <c r="E78" s="44"/>
      <c r="F78" s="396"/>
      <c r="G78" s="39"/>
      <c r="H78" s="39"/>
      <c r="I78" s="356"/>
      <c r="J78" s="38"/>
      <c r="K78" s="56" t="str">
        <f>IF(V78=0,
    "판매가 없음",
    _xlfn.XLOOKUP(
        C78 &amp; "|" &amp; D78 &amp; "|" &amp; E78,
        단가표!$Q$2:$Q$387,
        단가표!$O$2:$O$387,
        "0"
    )
)</f>
        <v>판매가 없음</v>
      </c>
      <c r="L78" s="69">
        <f>_xlfn.XLOOKUP(
    C78 &amp; "|" &amp; D78 &amp; "|" &amp; E78,
    단가표!$Q$2:$Q$387,
    단가표!$I$2:$I$387,
   0
)</f>
        <v>0</v>
      </c>
      <c r="M78" s="379">
        <f>_xlfn.XLOOKUP(
    C78 &amp; "|" &amp; D78 &amp; "|" &amp; E78,
    단가표!$Q$2:$Q$387,
    단가표!$J$2:$J$387,
   0
)</f>
        <v>0</v>
      </c>
      <c r="N78" s="69">
        <f>_xlfn.XLOOKUP(
    C78 &amp; "|" &amp; D78 &amp; "|" &amp; E78,
    단가표!$Q$2:$Q$387,
    단가표!$K$2:$K$387,
   0
)</f>
        <v>0</v>
      </c>
      <c r="O78" s="56">
        <f t="shared" si="6"/>
        <v>0</v>
      </c>
      <c r="P78" s="56" t="str">
        <f>_xlfn.XLOOKUP(
    C78 &amp; "|" &amp; D78 &amp; "|" &amp; E78,
    단가표!$Q$2:$Q$387,
    단가표!$H$2:$H$387,
    "차열재 없음"
)</f>
        <v>차열재 없음</v>
      </c>
      <c r="Q78" s="56" t="str">
        <f>_xlfn.XLOOKUP(
    C78 &amp; "|" &amp; D78 &amp; "|" &amp; E78,
    단가표!$Q$2:$Q$387,
    단가표!$L$2:$L$387,
    "0"
)</f>
        <v>0</v>
      </c>
      <c r="R78" s="56" t="str">
        <f>_xlfn.XLOOKUP(
    C78 &amp; "|" &amp; D78 &amp; "|" &amp; E78,
    단가표!$Q$2:$Q$387,
    단가표!$M$2:$M$387,
    "0"
)</f>
        <v>0</v>
      </c>
      <c r="S78" s="56">
        <f t="shared" si="7"/>
        <v>0</v>
      </c>
      <c r="T78" s="106">
        <f>_xlfn.XLOOKUP(
    C78 &amp; "|" &amp; D78 &amp; "|" &amp; E78,
    단가표!$Q$2:$Q$387,
    단가표!$E$2:$E$387,
    0
)</f>
        <v>0</v>
      </c>
      <c r="U78" s="105">
        <f t="shared" si="8"/>
        <v>0</v>
      </c>
      <c r="V78" s="83">
        <f>_xlfn.XLOOKUP(
    C78 &amp; "|" &amp; D78 &amp; "|" &amp; E78,
    단가표!$Q$2:$Q$387,
    단가표!$G$2:$G$387,
    0
)</f>
        <v>0</v>
      </c>
      <c r="W78" s="83">
        <f t="shared" si="9"/>
        <v>0</v>
      </c>
      <c r="X78" s="83">
        <f t="shared" si="10"/>
        <v>0</v>
      </c>
      <c r="Y78" s="37">
        <f t="shared" si="11"/>
        <v>0</v>
      </c>
    </row>
    <row r="79" spans="2:25" ht="26.45" customHeight="1">
      <c r="B79" s="35">
        <f t="shared" si="5"/>
        <v>67</v>
      </c>
      <c r="C79" s="43"/>
      <c r="D79" s="43"/>
      <c r="E79" s="44"/>
      <c r="F79" s="396"/>
      <c r="G79" s="39"/>
      <c r="H79" s="39"/>
      <c r="I79" s="356"/>
      <c r="J79" s="38"/>
      <c r="K79" s="56" t="str">
        <f>IF(V79=0,
    "판매가 없음",
    _xlfn.XLOOKUP(
        C79 &amp; "|" &amp; D79 &amp; "|" &amp; E79,
        단가표!$Q$2:$Q$387,
        단가표!$O$2:$O$387,
        "0"
    )
)</f>
        <v>판매가 없음</v>
      </c>
      <c r="L79" s="69">
        <f>_xlfn.XLOOKUP(
    C79 &amp; "|" &amp; D79 &amp; "|" &amp; E79,
    단가표!$Q$2:$Q$387,
    단가표!$I$2:$I$387,
   0
)</f>
        <v>0</v>
      </c>
      <c r="M79" s="379">
        <f>_xlfn.XLOOKUP(
    C79 &amp; "|" &amp; D79 &amp; "|" &amp; E79,
    단가표!$Q$2:$Q$387,
    단가표!$J$2:$J$387,
   0
)</f>
        <v>0</v>
      </c>
      <c r="N79" s="69">
        <f>_xlfn.XLOOKUP(
    C79 &amp; "|" &amp; D79 &amp; "|" &amp; E79,
    단가표!$Q$2:$Q$387,
    단가표!$K$2:$K$387,
   0
)</f>
        <v>0</v>
      </c>
      <c r="O79" s="56">
        <f t="shared" si="6"/>
        <v>0</v>
      </c>
      <c r="P79" s="56" t="str">
        <f>_xlfn.XLOOKUP(
    C79 &amp; "|" &amp; D79 &amp; "|" &amp; E79,
    단가표!$Q$2:$Q$387,
    단가표!$H$2:$H$387,
    "차열재 없음"
)</f>
        <v>차열재 없음</v>
      </c>
      <c r="Q79" s="56" t="str">
        <f>_xlfn.XLOOKUP(
    C79 &amp; "|" &amp; D79 &amp; "|" &amp; E79,
    단가표!$Q$2:$Q$387,
    단가표!$L$2:$L$387,
    "0"
)</f>
        <v>0</v>
      </c>
      <c r="R79" s="56" t="str">
        <f>_xlfn.XLOOKUP(
    C79 &amp; "|" &amp; D79 &amp; "|" &amp; E79,
    단가표!$Q$2:$Q$387,
    단가표!$M$2:$M$387,
    "0"
)</f>
        <v>0</v>
      </c>
      <c r="S79" s="56">
        <f t="shared" si="7"/>
        <v>0</v>
      </c>
      <c r="T79" s="106">
        <f>_xlfn.XLOOKUP(
    C79 &amp; "|" &amp; D79 &amp; "|" &amp; E79,
    단가표!$Q$2:$Q$387,
    단가표!$E$2:$E$387,
    0
)</f>
        <v>0</v>
      </c>
      <c r="U79" s="105">
        <f t="shared" si="8"/>
        <v>0</v>
      </c>
      <c r="V79" s="83">
        <f>_xlfn.XLOOKUP(
    C79 &amp; "|" &amp; D79 &amp; "|" &amp; E79,
    단가표!$Q$2:$Q$387,
    단가표!$G$2:$G$387,
    0
)</f>
        <v>0</v>
      </c>
      <c r="W79" s="83">
        <f t="shared" si="9"/>
        <v>0</v>
      </c>
      <c r="X79" s="83">
        <f t="shared" si="10"/>
        <v>0</v>
      </c>
      <c r="Y79" s="37">
        <f t="shared" si="11"/>
        <v>0</v>
      </c>
    </row>
    <row r="80" spans="2:25" ht="26.45" customHeight="1">
      <c r="B80" s="35">
        <f t="shared" si="5"/>
        <v>68</v>
      </c>
      <c r="C80" s="43"/>
      <c r="D80" s="43"/>
      <c r="E80" s="44"/>
      <c r="F80" s="396"/>
      <c r="G80" s="39"/>
      <c r="H80" s="39"/>
      <c r="I80" s="356"/>
      <c r="J80" s="38"/>
      <c r="K80" s="56" t="str">
        <f>IF(V80=0,
    "판매가 없음",
    _xlfn.XLOOKUP(
        C80 &amp; "|" &amp; D80 &amp; "|" &amp; E80,
        단가표!$Q$2:$Q$387,
        단가표!$O$2:$O$387,
        "0"
    )
)</f>
        <v>판매가 없음</v>
      </c>
      <c r="L80" s="69">
        <f>_xlfn.XLOOKUP(
    C80 &amp; "|" &amp; D80 &amp; "|" &amp; E80,
    단가표!$Q$2:$Q$387,
    단가표!$I$2:$I$387,
   0
)</f>
        <v>0</v>
      </c>
      <c r="M80" s="379">
        <f>_xlfn.XLOOKUP(
    C80 &amp; "|" &amp; D80 &amp; "|" &amp; E80,
    단가표!$Q$2:$Q$387,
    단가표!$J$2:$J$387,
   0
)</f>
        <v>0</v>
      </c>
      <c r="N80" s="69">
        <f>_xlfn.XLOOKUP(
    C80 &amp; "|" &amp; D80 &amp; "|" &amp; E80,
    단가표!$Q$2:$Q$387,
    단가표!$K$2:$K$387,
   0
)</f>
        <v>0</v>
      </c>
      <c r="O80" s="56">
        <f t="shared" ref="O80:O81" si="12">L80*I80</f>
        <v>0</v>
      </c>
      <c r="P80" s="56" t="str">
        <f>_xlfn.XLOOKUP(
    C80 &amp; "|" &amp; D80 &amp; "|" &amp; E80,
    단가표!$Q$2:$Q$387,
    단가표!$H$2:$H$387,
    "차열재 없음"
)</f>
        <v>차열재 없음</v>
      </c>
      <c r="Q80" s="56" t="str">
        <f>_xlfn.XLOOKUP(
    C80 &amp; "|" &amp; D80 &amp; "|" &amp; E80,
    단가표!$Q$2:$Q$387,
    단가표!$L$2:$L$387,
    "0"
)</f>
        <v>0</v>
      </c>
      <c r="R80" s="56" t="str">
        <f>_xlfn.XLOOKUP(
    C80 &amp; "|" &amp; D80 &amp; "|" &amp; E80,
    단가표!$Q$2:$Q$387,
    단가표!$M$2:$M$387,
    "0"
)</f>
        <v>0</v>
      </c>
      <c r="S80" s="56">
        <f t="shared" ref="S80:S81" si="13">Q80*I80</f>
        <v>0</v>
      </c>
      <c r="T80" s="106">
        <f>_xlfn.XLOOKUP(
    C80 &amp; "|" &amp; D80 &amp; "|" &amp; E80,
    단가표!$Q$2:$Q$387,
    단가표!$E$2:$E$387,
    0
)</f>
        <v>0</v>
      </c>
      <c r="U80" s="105">
        <f t="shared" ref="U80:U81" si="14">V80+R80+N80</f>
        <v>0</v>
      </c>
      <c r="V80" s="83">
        <f>_xlfn.XLOOKUP(
    C80 &amp; "|" &amp; D80 &amp; "|" &amp; E80,
    단가표!$Q$2:$Q$387,
    단가표!$G$2:$G$387,
    0
)</f>
        <v>0</v>
      </c>
      <c r="W80" s="83">
        <f t="shared" ref="W80:W81" si="15">T80*I80</f>
        <v>0</v>
      </c>
      <c r="X80" s="83">
        <f t="shared" ref="X80:X81" si="16">(V80+N80+R80)*I80</f>
        <v>0</v>
      </c>
      <c r="Y80" s="37">
        <f t="shared" ref="Y80:Y81" si="17">V80*I80</f>
        <v>0</v>
      </c>
    </row>
    <row r="81" spans="2:25" ht="26.45" customHeight="1">
      <c r="B81" s="35">
        <f t="shared" si="5"/>
        <v>69</v>
      </c>
      <c r="C81" s="43"/>
      <c r="D81" s="43"/>
      <c r="E81" s="44"/>
      <c r="F81" s="396"/>
      <c r="G81" s="39"/>
      <c r="H81" s="39"/>
      <c r="I81" s="356"/>
      <c r="J81" s="38"/>
      <c r="K81" s="56" t="str">
        <f>IF(V81=0,
    "판매가 없음",
    _xlfn.XLOOKUP(
        C81 &amp; "|" &amp; D81 &amp; "|" &amp; E81,
        단가표!$Q$2:$Q$387,
        단가표!$O$2:$O$387,
        "0"
    )
)</f>
        <v>판매가 없음</v>
      </c>
      <c r="L81" s="69">
        <f>_xlfn.XLOOKUP(
    C81 &amp; "|" &amp; D81 &amp; "|" &amp; E81,
    단가표!$Q$2:$Q$387,
    단가표!$I$2:$I$387,
   0
)</f>
        <v>0</v>
      </c>
      <c r="M81" s="379">
        <f>_xlfn.XLOOKUP(
    C81 &amp; "|" &amp; D81 &amp; "|" &amp; E81,
    단가표!$Q$2:$Q$387,
    단가표!$J$2:$J$387,
   0
)</f>
        <v>0</v>
      </c>
      <c r="N81" s="69">
        <f>_xlfn.XLOOKUP(
    C81 &amp; "|" &amp; D81 &amp; "|" &amp; E81,
    단가표!$Q$2:$Q$387,
    단가표!$K$2:$K$387,
   0
)</f>
        <v>0</v>
      </c>
      <c r="O81" s="56">
        <f t="shared" si="12"/>
        <v>0</v>
      </c>
      <c r="P81" s="56" t="str">
        <f>_xlfn.XLOOKUP(
    C81 &amp; "|" &amp; D81 &amp; "|" &amp; E81,
    단가표!$Q$2:$Q$387,
    단가표!$H$2:$H$387,
    "차열재 없음"
)</f>
        <v>차열재 없음</v>
      </c>
      <c r="Q81" s="56" t="str">
        <f>_xlfn.XLOOKUP(
    C81 &amp; "|" &amp; D81 &amp; "|" &amp; E81,
    단가표!$Q$2:$Q$387,
    단가표!$L$2:$L$387,
    "0"
)</f>
        <v>0</v>
      </c>
      <c r="R81" s="56" t="str">
        <f>_xlfn.XLOOKUP(
    C81 &amp; "|" &amp; D81 &amp; "|" &amp; E81,
    단가표!$Q$2:$Q$387,
    단가표!$M$2:$M$387,
    "0"
)</f>
        <v>0</v>
      </c>
      <c r="S81" s="56">
        <f t="shared" si="13"/>
        <v>0</v>
      </c>
      <c r="T81" s="106">
        <f>_xlfn.XLOOKUP(
    C81 &amp; "|" &amp; D81 &amp; "|" &amp; E81,
    단가표!$Q$2:$Q$387,
    단가표!$E$2:$E$387,
    0
)</f>
        <v>0</v>
      </c>
      <c r="U81" s="105">
        <f t="shared" si="14"/>
        <v>0</v>
      </c>
      <c r="V81" s="83">
        <f>_xlfn.XLOOKUP(
    C81 &amp; "|" &amp; D81 &amp; "|" &amp; E81,
    단가표!$Q$2:$Q$387,
    단가표!$G$2:$G$387,
    0
)</f>
        <v>0</v>
      </c>
      <c r="W81" s="83">
        <f t="shared" si="15"/>
        <v>0</v>
      </c>
      <c r="X81" s="83">
        <f t="shared" si="16"/>
        <v>0</v>
      </c>
      <c r="Y81" s="37">
        <f t="shared" si="17"/>
        <v>0</v>
      </c>
    </row>
    <row r="82" spans="2:25" ht="26.45" customHeight="1">
      <c r="B82" s="35">
        <f t="shared" si="5"/>
        <v>70</v>
      </c>
      <c r="C82" s="43"/>
      <c r="D82" s="43"/>
      <c r="E82" s="44"/>
      <c r="F82" s="396"/>
      <c r="G82" s="39"/>
      <c r="H82" s="39"/>
      <c r="I82" s="356"/>
      <c r="J82" s="38"/>
      <c r="K82" s="56"/>
      <c r="L82" s="69"/>
      <c r="M82" s="379"/>
      <c r="N82" s="69"/>
      <c r="O82" s="56"/>
      <c r="P82" s="56"/>
      <c r="Q82" s="56"/>
      <c r="R82" s="56"/>
      <c r="S82" s="56"/>
      <c r="T82" s="106"/>
      <c r="U82" s="105"/>
      <c r="V82" s="83"/>
      <c r="W82" s="83"/>
      <c r="X82" s="83"/>
      <c r="Y82" s="37"/>
    </row>
    <row r="83" spans="2:25" ht="26.45" customHeight="1">
      <c r="B83" s="35">
        <f t="shared" si="5"/>
        <v>71</v>
      </c>
      <c r="C83" s="43"/>
      <c r="D83" s="43"/>
      <c r="E83" s="44"/>
      <c r="F83" s="396"/>
      <c r="G83" s="39"/>
      <c r="H83" s="39"/>
      <c r="I83" s="356"/>
      <c r="J83" s="38"/>
      <c r="K83" s="56"/>
      <c r="L83" s="69"/>
      <c r="M83" s="379"/>
      <c r="N83" s="69"/>
      <c r="O83" s="56"/>
      <c r="P83" s="56"/>
      <c r="Q83" s="56"/>
      <c r="R83" s="56"/>
      <c r="S83" s="56"/>
      <c r="T83" s="106"/>
      <c r="U83" s="105"/>
      <c r="V83" s="83"/>
      <c r="W83" s="83"/>
      <c r="X83" s="83"/>
      <c r="Y83" s="37"/>
    </row>
    <row r="84" spans="2:25" ht="26.45" customHeight="1">
      <c r="B84" s="35">
        <f t="shared" si="5"/>
        <v>72</v>
      </c>
      <c r="C84" s="43"/>
      <c r="D84" s="43"/>
      <c r="E84" s="44"/>
      <c r="F84" s="396"/>
      <c r="G84" s="39"/>
      <c r="H84" s="39"/>
      <c r="I84" s="356"/>
      <c r="J84" s="38"/>
      <c r="K84" s="56"/>
      <c r="L84" s="69"/>
      <c r="M84" s="379"/>
      <c r="N84" s="69"/>
      <c r="O84" s="56"/>
      <c r="P84" s="56"/>
      <c r="Q84" s="56"/>
      <c r="R84" s="56"/>
      <c r="S84" s="56"/>
      <c r="T84" s="106"/>
      <c r="U84" s="105"/>
      <c r="V84" s="83"/>
      <c r="W84" s="83"/>
      <c r="X84" s="83"/>
      <c r="Y84" s="37"/>
    </row>
    <row r="85" spans="2:25" ht="26.45" customHeight="1">
      <c r="B85" s="35">
        <f t="shared" si="5"/>
        <v>73</v>
      </c>
      <c r="C85" s="43"/>
      <c r="D85" s="43"/>
      <c r="E85" s="44"/>
      <c r="F85" s="396"/>
      <c r="G85" s="39"/>
      <c r="H85" s="39"/>
      <c r="I85" s="356"/>
      <c r="J85" s="38"/>
      <c r="K85" s="56"/>
      <c r="L85" s="69"/>
      <c r="M85" s="379"/>
      <c r="N85" s="69"/>
      <c r="O85" s="56"/>
      <c r="P85" s="56"/>
      <c r="Q85" s="56"/>
      <c r="R85" s="56"/>
      <c r="S85" s="56"/>
      <c r="T85" s="106"/>
      <c r="U85" s="105"/>
      <c r="V85" s="83"/>
      <c r="W85" s="83"/>
      <c r="X85" s="83"/>
      <c r="Y85" s="37"/>
    </row>
    <row r="86" spans="2:25" ht="26.45" customHeight="1">
      <c r="B86" s="35">
        <f t="shared" si="5"/>
        <v>74</v>
      </c>
      <c r="C86" s="43"/>
      <c r="D86" s="43"/>
      <c r="E86" s="44"/>
      <c r="F86" s="396"/>
      <c r="G86" s="39"/>
      <c r="H86" s="39"/>
      <c r="I86" s="356"/>
      <c r="J86" s="38"/>
      <c r="K86" s="56"/>
      <c r="L86" s="69"/>
      <c r="M86" s="379"/>
      <c r="N86" s="69"/>
      <c r="O86" s="56"/>
      <c r="P86" s="56"/>
      <c r="Q86" s="56"/>
      <c r="R86" s="56"/>
      <c r="S86" s="56"/>
      <c r="T86" s="106"/>
      <c r="U86" s="105"/>
      <c r="V86" s="83"/>
      <c r="W86" s="83"/>
      <c r="X86" s="83"/>
      <c r="Y86" s="37"/>
    </row>
    <row r="87" spans="2:25" ht="26.45" customHeight="1">
      <c r="B87" s="35">
        <f t="shared" si="5"/>
        <v>75</v>
      </c>
      <c r="C87" s="43"/>
      <c r="D87" s="43"/>
      <c r="E87" s="44"/>
      <c r="F87" s="396"/>
      <c r="G87" s="39"/>
      <c r="H87" s="39"/>
      <c r="I87" s="356"/>
      <c r="J87" s="38"/>
      <c r="K87" s="56"/>
      <c r="L87" s="69"/>
      <c r="M87" s="379"/>
      <c r="N87" s="69"/>
      <c r="O87" s="56"/>
      <c r="P87" s="56"/>
      <c r="Q87" s="56"/>
      <c r="R87" s="56"/>
      <c r="S87" s="56"/>
      <c r="T87" s="106"/>
      <c r="U87" s="105"/>
      <c r="V87" s="83"/>
      <c r="W87" s="83"/>
      <c r="X87" s="83"/>
      <c r="Y87" s="37"/>
    </row>
    <row r="88" spans="2:25" ht="26.45" customHeight="1">
      <c r="B88" s="35">
        <f t="shared" si="5"/>
        <v>76</v>
      </c>
      <c r="C88" s="43"/>
      <c r="D88" s="43"/>
      <c r="E88" s="44"/>
      <c r="F88" s="396"/>
      <c r="G88" s="39"/>
      <c r="H88" s="39"/>
      <c r="I88" s="356"/>
      <c r="J88" s="38"/>
      <c r="K88" s="56"/>
      <c r="L88" s="69"/>
      <c r="M88" s="379"/>
      <c r="N88" s="69"/>
      <c r="O88" s="56"/>
      <c r="P88" s="56"/>
      <c r="Q88" s="56"/>
      <c r="R88" s="56"/>
      <c r="S88" s="56"/>
      <c r="T88" s="106"/>
      <c r="U88" s="105"/>
      <c r="V88" s="83"/>
      <c r="W88" s="83"/>
      <c r="X88" s="83"/>
      <c r="Y88" s="37"/>
    </row>
    <row r="89" spans="2:25" ht="26.45" customHeight="1">
      <c r="B89" s="35">
        <f t="shared" si="5"/>
        <v>77</v>
      </c>
      <c r="C89" s="43"/>
      <c r="D89" s="43"/>
      <c r="E89" s="44"/>
      <c r="F89" s="396"/>
      <c r="G89" s="39"/>
      <c r="H89" s="39"/>
      <c r="I89" s="356"/>
      <c r="J89" s="38"/>
      <c r="K89" s="56"/>
      <c r="L89" s="69"/>
      <c r="M89" s="379"/>
      <c r="N89" s="69"/>
      <c r="O89" s="56"/>
      <c r="P89" s="56"/>
      <c r="Q89" s="56"/>
      <c r="R89" s="56"/>
      <c r="S89" s="56"/>
      <c r="T89" s="106"/>
      <c r="U89" s="105"/>
      <c r="V89" s="83"/>
      <c r="W89" s="83"/>
      <c r="X89" s="83"/>
      <c r="Y89" s="37"/>
    </row>
    <row r="90" spans="2:25" ht="26.45" customHeight="1">
      <c r="B90" s="35">
        <f t="shared" si="5"/>
        <v>78</v>
      </c>
      <c r="C90" s="43"/>
      <c r="D90" s="43"/>
      <c r="E90" s="44"/>
      <c r="F90" s="396"/>
      <c r="G90" s="39"/>
      <c r="H90" s="39"/>
      <c r="I90" s="356"/>
      <c r="J90" s="38"/>
      <c r="K90" s="56"/>
      <c r="L90" s="69"/>
      <c r="M90" s="379"/>
      <c r="N90" s="69"/>
      <c r="O90" s="56"/>
      <c r="P90" s="56"/>
      <c r="Q90" s="56"/>
      <c r="R90" s="56"/>
      <c r="S90" s="56"/>
      <c r="T90" s="106"/>
      <c r="U90" s="105"/>
      <c r="V90" s="83"/>
      <c r="W90" s="83"/>
      <c r="X90" s="83"/>
      <c r="Y90" s="37"/>
    </row>
    <row r="91" spans="2:25" ht="26.45" customHeight="1">
      <c r="B91" s="35">
        <f t="shared" si="5"/>
        <v>79</v>
      </c>
      <c r="C91" s="43"/>
      <c r="D91" s="43"/>
      <c r="E91" s="44"/>
      <c r="F91" s="396"/>
      <c r="G91" s="39"/>
      <c r="H91" s="39"/>
      <c r="I91" s="356"/>
      <c r="J91" s="38"/>
      <c r="K91" s="56"/>
      <c r="L91" s="69"/>
      <c r="M91" s="379"/>
      <c r="N91" s="69"/>
      <c r="O91" s="56"/>
      <c r="P91" s="56"/>
      <c r="Q91" s="56"/>
      <c r="R91" s="56"/>
      <c r="S91" s="56"/>
      <c r="T91" s="106"/>
      <c r="U91" s="105"/>
      <c r="V91" s="83"/>
      <c r="W91" s="83"/>
      <c r="X91" s="83"/>
      <c r="Y91" s="37"/>
    </row>
    <row r="92" spans="2:25" ht="26.45" customHeight="1">
      <c r="B92" s="35">
        <f t="shared" si="5"/>
        <v>80</v>
      </c>
      <c r="C92" s="43"/>
      <c r="D92" s="43"/>
      <c r="E92" s="44"/>
      <c r="F92" s="396"/>
      <c r="G92" s="39"/>
      <c r="H92" s="39"/>
      <c r="I92" s="356"/>
      <c r="J92" s="38"/>
      <c r="K92" s="56"/>
      <c r="L92" s="69"/>
      <c r="M92" s="379"/>
      <c r="N92" s="69"/>
      <c r="O92" s="56"/>
      <c r="P92" s="56"/>
      <c r="Q92" s="56"/>
      <c r="R92" s="56"/>
      <c r="S92" s="56"/>
      <c r="T92" s="106"/>
      <c r="U92" s="105"/>
      <c r="V92" s="83"/>
      <c r="W92" s="83"/>
      <c r="X92" s="83"/>
      <c r="Y92" s="37"/>
    </row>
    <row r="93" spans="2:25" ht="26.45" customHeight="1">
      <c r="B93" s="35">
        <f t="shared" si="5"/>
        <v>81</v>
      </c>
      <c r="C93" s="43"/>
      <c r="D93" s="43"/>
      <c r="E93" s="44"/>
      <c r="F93" s="396"/>
      <c r="G93" s="39"/>
      <c r="H93" s="39"/>
      <c r="I93" s="356"/>
      <c r="J93" s="38"/>
      <c r="K93" s="56"/>
      <c r="L93" s="69"/>
      <c r="M93" s="379"/>
      <c r="N93" s="69"/>
      <c r="O93" s="56"/>
      <c r="P93" s="56"/>
      <c r="Q93" s="56"/>
      <c r="R93" s="56"/>
      <c r="S93" s="56"/>
      <c r="T93" s="106"/>
      <c r="U93" s="105"/>
      <c r="V93" s="83"/>
      <c r="W93" s="83"/>
      <c r="X93" s="83"/>
      <c r="Y93" s="37"/>
    </row>
    <row r="94" spans="2:25" ht="26.45" customHeight="1">
      <c r="B94" s="35">
        <f t="shared" si="5"/>
        <v>82</v>
      </c>
      <c r="C94" s="43"/>
      <c r="D94" s="43"/>
      <c r="E94" s="44"/>
      <c r="F94" s="396"/>
      <c r="G94" s="39"/>
      <c r="H94" s="39"/>
      <c r="I94" s="356"/>
      <c r="J94" s="38"/>
      <c r="K94" s="56"/>
      <c r="L94" s="69"/>
      <c r="M94" s="379"/>
      <c r="N94" s="69"/>
      <c r="O94" s="56"/>
      <c r="P94" s="56"/>
      <c r="Q94" s="56"/>
      <c r="R94" s="56"/>
      <c r="S94" s="56"/>
      <c r="T94" s="106"/>
      <c r="U94" s="105"/>
      <c r="V94" s="83"/>
      <c r="W94" s="83"/>
      <c r="X94" s="83"/>
      <c r="Y94" s="37"/>
    </row>
    <row r="95" spans="2:25" ht="26.45" customHeight="1">
      <c r="B95" s="35">
        <f t="shared" si="5"/>
        <v>83</v>
      </c>
      <c r="C95" s="43"/>
      <c r="D95" s="43"/>
      <c r="E95" s="44"/>
      <c r="F95" s="396"/>
      <c r="G95" s="39"/>
      <c r="H95" s="39"/>
      <c r="I95" s="356"/>
      <c r="J95" s="38"/>
      <c r="K95" s="56"/>
      <c r="L95" s="69"/>
      <c r="M95" s="379"/>
      <c r="N95" s="69"/>
      <c r="O95" s="56"/>
      <c r="P95" s="56"/>
      <c r="Q95" s="56"/>
      <c r="R95" s="56"/>
      <c r="S95" s="56"/>
      <c r="T95" s="106"/>
      <c r="U95" s="105"/>
      <c r="V95" s="83"/>
      <c r="W95" s="83"/>
      <c r="X95" s="83"/>
      <c r="Y95" s="37"/>
    </row>
    <row r="96" spans="2:25" ht="26.45" customHeight="1">
      <c r="B96" s="35">
        <f t="shared" si="5"/>
        <v>84</v>
      </c>
      <c r="C96" s="43"/>
      <c r="D96" s="43"/>
      <c r="E96" s="44"/>
      <c r="F96" s="396"/>
      <c r="G96" s="39"/>
      <c r="H96" s="39"/>
      <c r="I96" s="356"/>
      <c r="J96" s="38"/>
      <c r="K96" s="56"/>
      <c r="L96" s="69"/>
      <c r="M96" s="379"/>
      <c r="N96" s="69"/>
      <c r="O96" s="56"/>
      <c r="P96" s="56"/>
      <c r="Q96" s="56"/>
      <c r="R96" s="56"/>
      <c r="S96" s="56"/>
      <c r="T96" s="106"/>
      <c r="U96" s="105"/>
      <c r="V96" s="83"/>
      <c r="W96" s="83"/>
      <c r="X96" s="83"/>
      <c r="Y96" s="37"/>
    </row>
    <row r="97" spans="2:25" ht="26.45" customHeight="1">
      <c r="B97" s="35">
        <f t="shared" si="5"/>
        <v>85</v>
      </c>
      <c r="C97" s="43"/>
      <c r="D97" s="43"/>
      <c r="E97" s="44"/>
      <c r="F97" s="396"/>
      <c r="G97" s="39"/>
      <c r="H97" s="39"/>
      <c r="I97" s="356"/>
      <c r="J97" s="38"/>
      <c r="K97" s="56"/>
      <c r="L97" s="69"/>
      <c r="M97" s="379"/>
      <c r="N97" s="69"/>
      <c r="O97" s="56"/>
      <c r="P97" s="56"/>
      <c r="Q97" s="56"/>
      <c r="R97" s="56"/>
      <c r="S97" s="56"/>
      <c r="T97" s="106"/>
      <c r="U97" s="105"/>
      <c r="V97" s="83"/>
      <c r="W97" s="83"/>
      <c r="X97" s="83"/>
      <c r="Y97" s="37"/>
    </row>
    <row r="98" spans="2:25" ht="26.45" customHeight="1">
      <c r="B98" s="35">
        <f t="shared" si="5"/>
        <v>86</v>
      </c>
      <c r="C98" s="43"/>
      <c r="D98" s="43"/>
      <c r="E98" s="44"/>
      <c r="F98" s="396"/>
      <c r="G98" s="39"/>
      <c r="H98" s="39"/>
      <c r="I98" s="356"/>
      <c r="J98" s="38"/>
      <c r="K98" s="56"/>
      <c r="L98" s="69"/>
      <c r="M98" s="379"/>
      <c r="N98" s="69"/>
      <c r="O98" s="56"/>
      <c r="P98" s="56"/>
      <c r="Q98" s="56"/>
      <c r="R98" s="56"/>
      <c r="S98" s="56"/>
      <c r="T98" s="106"/>
      <c r="U98" s="105"/>
      <c r="V98" s="83"/>
      <c r="W98" s="83"/>
      <c r="X98" s="83"/>
      <c r="Y98" s="37"/>
    </row>
    <row r="99" spans="2:25" ht="26.45" customHeight="1">
      <c r="B99" s="35">
        <f t="shared" si="5"/>
        <v>87</v>
      </c>
      <c r="C99" s="43"/>
      <c r="D99" s="43"/>
      <c r="E99" s="44"/>
      <c r="F99" s="396"/>
      <c r="G99" s="38"/>
      <c r="H99" s="39"/>
      <c r="I99" s="149"/>
      <c r="J99" s="93"/>
      <c r="K99" s="56"/>
      <c r="L99" s="69"/>
      <c r="M99" s="379"/>
      <c r="N99" s="69"/>
      <c r="O99" s="56"/>
      <c r="P99" s="56"/>
      <c r="Q99" s="56"/>
      <c r="R99" s="56"/>
      <c r="S99" s="56"/>
      <c r="T99" s="82"/>
      <c r="U99" s="83"/>
      <c r="V99" s="83"/>
      <c r="W99" s="83"/>
      <c r="X99" s="83"/>
      <c r="Y99" s="37"/>
    </row>
    <row r="100" spans="2:25" ht="26.45" customHeight="1">
      <c r="B100" s="35">
        <f t="shared" si="5"/>
        <v>88</v>
      </c>
      <c r="C100" s="43"/>
      <c r="D100" s="43"/>
      <c r="E100" s="44"/>
      <c r="F100" s="396"/>
      <c r="G100" s="38"/>
      <c r="H100" s="39"/>
      <c r="I100" s="74"/>
      <c r="J100" s="41"/>
      <c r="K100" s="56"/>
      <c r="L100" s="69"/>
      <c r="M100" s="379"/>
      <c r="N100" s="69"/>
      <c r="O100" s="56"/>
      <c r="P100" s="56"/>
      <c r="Q100" s="56"/>
      <c r="R100" s="56"/>
      <c r="S100" s="56"/>
      <c r="T100" s="82"/>
      <c r="U100" s="83"/>
      <c r="V100" s="83"/>
      <c r="W100" s="83"/>
      <c r="X100" s="83"/>
      <c r="Y100" s="37"/>
    </row>
    <row r="101" spans="2:25" ht="26.45" customHeight="1">
      <c r="B101" s="35">
        <f t="shared" si="5"/>
        <v>89</v>
      </c>
      <c r="C101" s="78" t="s">
        <v>88</v>
      </c>
      <c r="D101" s="43"/>
      <c r="E101" s="44"/>
      <c r="F101" s="396"/>
      <c r="G101" s="38"/>
      <c r="H101" s="39"/>
      <c r="I101" s="74"/>
      <c r="J101" s="41"/>
      <c r="K101" s="56"/>
      <c r="L101" s="69"/>
      <c r="M101" s="379"/>
      <c r="N101" s="69"/>
      <c r="O101" s="56"/>
      <c r="P101" s="56"/>
      <c r="Q101" s="56"/>
      <c r="R101" s="56"/>
      <c r="S101" s="56"/>
      <c r="T101" s="82"/>
      <c r="U101" s="83"/>
      <c r="V101" s="83"/>
      <c r="W101" s="83"/>
      <c r="X101" s="83"/>
      <c r="Y101" s="37"/>
    </row>
    <row r="102" spans="2:25" ht="26.45" customHeight="1">
      <c r="B102" s="35">
        <f t="shared" si="5"/>
        <v>90</v>
      </c>
      <c r="C102" s="43" t="s">
        <v>129</v>
      </c>
      <c r="D102" s="43"/>
      <c r="E102" s="44"/>
      <c r="F102" s="396"/>
      <c r="G102" s="38"/>
      <c r="H102" s="39" t="s">
        <v>92</v>
      </c>
      <c r="I102" s="74">
        <f t="shared" ref="I102:I109" si="18">_xlfn.XLOOKUP(C102, $B$120:$B$127, $E$120:$E$127, "")</f>
        <v>1</v>
      </c>
      <c r="J102" s="41"/>
      <c r="K102" s="56"/>
      <c r="L102" s="69"/>
      <c r="M102" s="379"/>
      <c r="N102" s="69"/>
      <c r="O102" s="56"/>
      <c r="P102" s="56"/>
      <c r="Q102" s="56"/>
      <c r="R102" s="56"/>
      <c r="S102" s="56"/>
      <c r="T102" s="82">
        <f>단가표!E255</f>
        <v>24030</v>
      </c>
      <c r="U102" s="83"/>
      <c r="V102" s="83">
        <f>단가표!G255</f>
        <v>27390</v>
      </c>
      <c r="W102" s="83">
        <f t="shared" ref="W102:W104" si="19">T102*I102</f>
        <v>24030</v>
      </c>
      <c r="X102" s="83"/>
      <c r="Y102" s="37">
        <f t="shared" ref="Y102:Y104" si="20">V102*I102</f>
        <v>27390</v>
      </c>
    </row>
    <row r="103" spans="2:25" ht="26.45" customHeight="1">
      <c r="B103" s="35">
        <f t="shared" si="5"/>
        <v>91</v>
      </c>
      <c r="C103" s="43" t="s">
        <v>124</v>
      </c>
      <c r="D103" s="43"/>
      <c r="E103" s="44"/>
      <c r="F103" s="38"/>
      <c r="G103" s="38"/>
      <c r="H103" s="39" t="s">
        <v>92</v>
      </c>
      <c r="I103" s="74">
        <f t="shared" si="18"/>
        <v>0</v>
      </c>
      <c r="J103" s="93"/>
      <c r="K103" s="56"/>
      <c r="L103" s="69"/>
      <c r="M103" s="379"/>
      <c r="N103" s="69"/>
      <c r="O103" s="56"/>
      <c r="P103" s="56"/>
      <c r="Q103" s="56"/>
      <c r="R103" s="56"/>
      <c r="S103" s="56"/>
      <c r="T103" s="82">
        <f>단가표!E256</f>
        <v>48060</v>
      </c>
      <c r="U103" s="83"/>
      <c r="V103" s="83">
        <f>단가표!G256</f>
        <v>54780</v>
      </c>
      <c r="W103" s="83">
        <f t="shared" si="19"/>
        <v>0</v>
      </c>
      <c r="X103" s="83"/>
      <c r="Y103" s="37">
        <f t="shared" si="20"/>
        <v>0</v>
      </c>
    </row>
    <row r="104" spans="2:25" ht="26.45" customHeight="1">
      <c r="B104" s="35">
        <f t="shared" si="5"/>
        <v>92</v>
      </c>
      <c r="C104" s="43" t="s">
        <v>126</v>
      </c>
      <c r="D104" s="43"/>
      <c r="E104" s="44"/>
      <c r="F104" s="38"/>
      <c r="G104" s="38"/>
      <c r="H104" s="39" t="s">
        <v>92</v>
      </c>
      <c r="I104" s="74">
        <f t="shared" si="18"/>
        <v>0</v>
      </c>
      <c r="J104" s="93"/>
      <c r="K104" s="56"/>
      <c r="L104" s="69"/>
      <c r="M104" s="379"/>
      <c r="N104" s="69"/>
      <c r="O104" s="56"/>
      <c r="P104" s="56"/>
      <c r="Q104" s="56"/>
      <c r="R104" s="56"/>
      <c r="S104" s="56"/>
      <c r="T104" s="82">
        <f>단가표!E257</f>
        <v>24030</v>
      </c>
      <c r="U104" s="83"/>
      <c r="V104" s="83">
        <f>단가표!G257</f>
        <v>27390</v>
      </c>
      <c r="W104" s="83">
        <f t="shared" si="19"/>
        <v>0</v>
      </c>
      <c r="X104" s="83"/>
      <c r="Y104" s="37">
        <f t="shared" si="20"/>
        <v>0</v>
      </c>
    </row>
    <row r="105" spans="2:25" ht="26.45" customHeight="1">
      <c r="B105" s="35">
        <f t="shared" si="5"/>
        <v>93</v>
      </c>
      <c r="C105" s="43" t="s">
        <v>128</v>
      </c>
      <c r="D105" s="43"/>
      <c r="E105" s="44"/>
      <c r="F105" s="38"/>
      <c r="G105" s="38"/>
      <c r="H105" s="39" t="s">
        <v>92</v>
      </c>
      <c r="I105" s="74">
        <f t="shared" si="18"/>
        <v>0</v>
      </c>
      <c r="J105" s="93"/>
      <c r="K105" s="56"/>
      <c r="L105" s="69"/>
      <c r="M105" s="379"/>
      <c r="N105" s="69"/>
      <c r="O105" s="56"/>
      <c r="P105" s="56"/>
      <c r="Q105" s="56"/>
      <c r="R105" s="56"/>
      <c r="S105" s="56"/>
      <c r="T105" s="82">
        <f>단가표!E258</f>
        <v>48060</v>
      </c>
      <c r="U105" s="83"/>
      <c r="V105" s="83">
        <f>단가표!G258</f>
        <v>54780</v>
      </c>
      <c r="W105" s="83"/>
      <c r="X105" s="83"/>
      <c r="Y105" s="37"/>
    </row>
    <row r="106" spans="2:25" ht="26.45" customHeight="1">
      <c r="B106" s="35">
        <f t="shared" si="5"/>
        <v>94</v>
      </c>
      <c r="C106" s="43" t="s">
        <v>96</v>
      </c>
      <c r="D106" s="43"/>
      <c r="E106" s="44"/>
      <c r="F106" s="38"/>
      <c r="G106" s="38"/>
      <c r="H106" s="39" t="s">
        <v>92</v>
      </c>
      <c r="I106" s="74">
        <f t="shared" si="18"/>
        <v>0</v>
      </c>
      <c r="J106" s="93"/>
      <c r="K106" s="56"/>
      <c r="L106" s="69"/>
      <c r="M106" s="379"/>
      <c r="N106" s="69"/>
      <c r="O106" s="56"/>
      <c r="P106" s="56"/>
      <c r="Q106" s="56"/>
      <c r="R106" s="56"/>
      <c r="S106" s="56"/>
      <c r="T106" s="82">
        <f>단가표!E259</f>
        <v>71300</v>
      </c>
      <c r="U106" s="83"/>
      <c r="V106" s="83">
        <f>단가표!G259</f>
        <v>81280</v>
      </c>
      <c r="W106" s="83"/>
      <c r="X106" s="83"/>
      <c r="Y106" s="37"/>
    </row>
    <row r="107" spans="2:25" ht="26.45" customHeight="1">
      <c r="B107" s="35">
        <f t="shared" si="5"/>
        <v>95</v>
      </c>
      <c r="C107" s="43" t="s">
        <v>434</v>
      </c>
      <c r="D107" s="43"/>
      <c r="E107" s="44"/>
      <c r="F107" s="38"/>
      <c r="G107" s="38"/>
      <c r="H107" s="39" t="s">
        <v>401</v>
      </c>
      <c r="I107" s="74">
        <f t="shared" si="18"/>
        <v>0</v>
      </c>
      <c r="J107" s="439"/>
      <c r="K107" s="56"/>
      <c r="L107" s="69"/>
      <c r="M107" s="379"/>
      <c r="N107" s="69"/>
      <c r="O107" s="56"/>
      <c r="P107" s="56"/>
      <c r="Q107" s="56"/>
      <c r="R107" s="56"/>
      <c r="S107" s="56"/>
      <c r="T107" s="82"/>
      <c r="U107" s="83"/>
      <c r="V107" s="83"/>
      <c r="W107" s="83"/>
      <c r="X107" s="83"/>
      <c r="Y107" s="37"/>
    </row>
    <row r="108" spans="2:25" ht="26.45" customHeight="1">
      <c r="B108" s="35">
        <f t="shared" ref="B108:B109" si="21">B107+1</f>
        <v>96</v>
      </c>
      <c r="C108" s="43" t="s">
        <v>435</v>
      </c>
      <c r="D108" s="43"/>
      <c r="E108" s="44"/>
      <c r="F108" s="38"/>
      <c r="G108" s="38"/>
      <c r="H108" s="39" t="s">
        <v>401</v>
      </c>
      <c r="I108" s="74">
        <f t="shared" si="18"/>
        <v>0</v>
      </c>
      <c r="J108" s="439"/>
      <c r="K108" s="56"/>
      <c r="L108" s="69"/>
      <c r="M108" s="379"/>
      <c r="N108" s="69"/>
      <c r="O108" s="56"/>
      <c r="P108" s="56"/>
      <c r="Q108" s="56"/>
      <c r="R108" s="56"/>
      <c r="S108" s="56"/>
      <c r="T108" s="82"/>
      <c r="U108" s="83"/>
      <c r="V108" s="83"/>
      <c r="W108" s="83"/>
      <c r="X108" s="83"/>
      <c r="Y108" s="37"/>
    </row>
    <row r="109" spans="2:25" ht="26.45" customHeight="1">
      <c r="B109" s="35">
        <f t="shared" si="21"/>
        <v>97</v>
      </c>
      <c r="C109" s="43" t="s">
        <v>99</v>
      </c>
      <c r="D109" s="43"/>
      <c r="E109" s="44"/>
      <c r="F109" s="38"/>
      <c r="G109" s="38"/>
      <c r="H109" s="39" t="s">
        <v>92</v>
      </c>
      <c r="I109" s="74">
        <f t="shared" si="18"/>
        <v>0</v>
      </c>
      <c r="J109" s="41"/>
      <c r="K109" s="56"/>
      <c r="L109" s="69"/>
      <c r="M109" s="379"/>
      <c r="N109" s="69"/>
      <c r="O109" s="56"/>
      <c r="P109" s="56"/>
      <c r="Q109" s="56"/>
      <c r="R109" s="56"/>
      <c r="S109" s="56"/>
      <c r="T109" s="82">
        <f>단가표!E262</f>
        <v>3790</v>
      </c>
      <c r="U109" s="83"/>
      <c r="V109" s="83">
        <f>단가표!G262</f>
        <v>4320</v>
      </c>
      <c r="W109" s="83"/>
      <c r="X109" s="83"/>
      <c r="Y109" s="37"/>
    </row>
    <row r="110" spans="2:25" ht="26.1" customHeight="1">
      <c r="B110" s="34"/>
      <c r="C110" s="43"/>
      <c r="D110" s="43"/>
      <c r="E110" s="44"/>
      <c r="F110" s="38"/>
      <c r="G110" s="38"/>
      <c r="H110" s="40"/>
      <c r="I110" s="74"/>
      <c r="J110" s="41"/>
      <c r="K110" s="56"/>
      <c r="L110" s="69"/>
      <c r="M110" s="379"/>
      <c r="N110" s="69"/>
      <c r="O110" s="56"/>
      <c r="P110" s="56"/>
      <c r="Q110" s="56"/>
      <c r="R110" s="56"/>
      <c r="S110" s="56"/>
      <c r="T110" s="82"/>
      <c r="U110" s="83"/>
      <c r="V110" s="83"/>
      <c r="W110" s="83"/>
      <c r="X110" s="83"/>
      <c r="Y110" s="37"/>
    </row>
    <row r="111" spans="2:25" ht="26.1" customHeight="1">
      <c r="B111" s="34"/>
      <c r="C111" s="43"/>
      <c r="D111" s="43"/>
      <c r="E111" s="44"/>
      <c r="F111" s="38"/>
      <c r="G111" s="38"/>
      <c r="H111" s="40"/>
      <c r="I111" s="74"/>
      <c r="J111" s="41"/>
      <c r="K111" s="56"/>
      <c r="L111" s="69"/>
      <c r="M111" s="379"/>
      <c r="N111" s="69"/>
      <c r="O111" s="56"/>
      <c r="P111" s="56"/>
      <c r="Q111" s="56"/>
      <c r="R111" s="56"/>
      <c r="S111" s="56"/>
      <c r="T111" s="82"/>
      <c r="U111" s="83"/>
      <c r="V111" s="83"/>
      <c r="W111" s="83">
        <f>SUM(W13:W110)</f>
        <v>36000</v>
      </c>
      <c r="X111" s="83">
        <f>SUM(X13:X110)</f>
        <v>15144</v>
      </c>
      <c r="Y111" s="37">
        <f>SUM(Y13:Y109)</f>
        <v>41010</v>
      </c>
    </row>
    <row r="112" spans="2:25" ht="26.45" customHeight="1">
      <c r="B112" s="59"/>
      <c r="C112" s="60"/>
      <c r="D112" s="60"/>
      <c r="E112" s="60"/>
      <c r="F112" s="60"/>
      <c r="G112" s="60"/>
      <c r="H112" s="61"/>
      <c r="I112" s="75"/>
      <c r="J112" s="62"/>
      <c r="K112" s="62"/>
      <c r="L112" s="70"/>
      <c r="M112" s="380"/>
      <c r="N112" s="108"/>
      <c r="O112" s="62"/>
      <c r="P112" s="62"/>
      <c r="Q112" s="62"/>
      <c r="R112" s="110"/>
      <c r="S112" s="62"/>
      <c r="T112" s="729" t="s">
        <v>75</v>
      </c>
      <c r="U112" s="730"/>
      <c r="V112" s="730"/>
      <c r="W112" s="731"/>
      <c r="X112" s="730"/>
      <c r="Y112" s="732"/>
    </row>
    <row r="113" spans="1:25" ht="20.25">
      <c r="B113" s="59"/>
      <c r="C113" s="60"/>
      <c r="D113" s="60"/>
      <c r="E113" s="60"/>
      <c r="F113" s="60"/>
      <c r="G113" s="60"/>
      <c r="H113" s="61"/>
      <c r="I113" s="75"/>
      <c r="J113" s="62"/>
      <c r="K113" s="62"/>
      <c r="L113" s="70"/>
      <c r="M113" s="380"/>
      <c r="N113" s="108"/>
      <c r="O113" s="62"/>
      <c r="P113" s="62"/>
      <c r="Q113" s="62"/>
      <c r="R113" s="110"/>
      <c r="S113" s="62"/>
      <c r="T113" s="729"/>
      <c r="U113" s="730"/>
      <c r="V113" s="730"/>
      <c r="W113" s="731"/>
      <c r="X113" s="730"/>
      <c r="Y113" s="732"/>
    </row>
    <row r="114" spans="1:25" ht="20.25">
      <c r="B114" s="59"/>
      <c r="C114" s="60"/>
      <c r="D114" s="60"/>
      <c r="E114" s="60"/>
      <c r="F114" s="60"/>
      <c r="G114" s="60"/>
      <c r="H114" s="61"/>
      <c r="I114" s="75"/>
      <c r="J114" s="62"/>
      <c r="K114" s="62"/>
      <c r="L114" s="70"/>
      <c r="M114" s="380"/>
      <c r="N114" s="108"/>
      <c r="O114" s="62"/>
      <c r="P114" s="62"/>
      <c r="Q114" s="62"/>
      <c r="R114" s="110"/>
      <c r="S114" s="62"/>
      <c r="T114" s="715">
        <f>SUM(Y13:Y110)+Y118</f>
        <v>41010</v>
      </c>
      <c r="U114" s="716"/>
      <c r="V114" s="716"/>
      <c r="W114" s="717"/>
      <c r="X114" s="716"/>
      <c r="Y114" s="718"/>
    </row>
    <row r="115" spans="1:25" ht="21" thickBot="1">
      <c r="B115" s="63"/>
      <c r="C115" s="64"/>
      <c r="D115" s="64"/>
      <c r="E115" s="64"/>
      <c r="F115" s="64"/>
      <c r="G115" s="64"/>
      <c r="H115" s="65"/>
      <c r="I115" s="76"/>
      <c r="J115" s="66"/>
      <c r="K115" s="66"/>
      <c r="L115" s="79"/>
      <c r="M115" s="381"/>
      <c r="N115" s="109"/>
      <c r="O115" s="66"/>
      <c r="P115" s="66"/>
      <c r="Q115" s="66"/>
      <c r="R115" s="111"/>
      <c r="S115" s="66"/>
      <c r="T115" s="719"/>
      <c r="U115" s="720"/>
      <c r="V115" s="720"/>
      <c r="W115" s="721"/>
      <c r="X115" s="720"/>
      <c r="Y115" s="722"/>
    </row>
    <row r="116" spans="1:25" ht="17.25" thickBot="1"/>
    <row r="117" spans="1:25" ht="17.45" customHeight="1">
      <c r="B117" s="738" t="s">
        <v>89</v>
      </c>
      <c r="C117" s="740"/>
      <c r="D117" s="740"/>
      <c r="E117" s="744"/>
      <c r="U117" s="738" t="s">
        <v>106</v>
      </c>
      <c r="V117" s="739"/>
      <c r="W117" s="740"/>
      <c r="X117" s="740"/>
      <c r="Y117" s="746">
        <f>Y111</f>
        <v>41010</v>
      </c>
    </row>
    <row r="118" spans="1:25" ht="17.45" customHeight="1">
      <c r="A118" t="s">
        <v>84</v>
      </c>
      <c r="B118" s="741"/>
      <c r="C118" s="743"/>
      <c r="D118" s="743"/>
      <c r="E118" s="745"/>
      <c r="U118" s="741"/>
      <c r="V118" s="742"/>
      <c r="W118" s="743"/>
      <c r="X118" s="743"/>
      <c r="Y118" s="687"/>
    </row>
    <row r="119" spans="1:25" ht="17.45" customHeight="1">
      <c r="B119" s="690" t="s">
        <v>73</v>
      </c>
      <c r="C119" s="691"/>
      <c r="D119" s="87" t="s">
        <v>98</v>
      </c>
      <c r="E119" s="89" t="s">
        <v>100</v>
      </c>
      <c r="U119" s="741" t="s">
        <v>107</v>
      </c>
      <c r="V119" s="742"/>
      <c r="W119" s="743"/>
      <c r="X119" s="743"/>
      <c r="Y119" s="686">
        <f>W111</f>
        <v>36000</v>
      </c>
    </row>
    <row r="120" spans="1:25" ht="19.899999999999999" customHeight="1">
      <c r="B120" s="682" t="s">
        <v>94</v>
      </c>
      <c r="C120" s="683"/>
      <c r="D120" s="88">
        <f>SUMIF($P$13:$P$112,"25T*200*7200",$O$13:$O$112)</f>
        <v>401.40000000000003</v>
      </c>
      <c r="E120" s="90">
        <f>CEILING(D120/7200, 1)</f>
        <v>1</v>
      </c>
      <c r="U120" s="741"/>
      <c r="V120" s="742"/>
      <c r="W120" s="743"/>
      <c r="X120" s="743"/>
      <c r="Y120" s="687"/>
    </row>
    <row r="121" spans="1:25" ht="19.899999999999999" customHeight="1">
      <c r="B121" s="682" t="s">
        <v>125</v>
      </c>
      <c r="C121" s="683"/>
      <c r="D121" s="88">
        <f>SUMIF($P$13:$P$112,"25T*400*7200",$O$13:$O$112)</f>
        <v>0</v>
      </c>
      <c r="E121" s="90">
        <f>CEILING(D121/7200, 1)</f>
        <v>0</v>
      </c>
      <c r="U121" s="692" t="s">
        <v>108</v>
      </c>
      <c r="V121" s="693"/>
      <c r="W121" s="693"/>
      <c r="X121" s="693"/>
      <c r="Y121" s="688">
        <f>Y117-Y119</f>
        <v>5010</v>
      </c>
    </row>
    <row r="122" spans="1:25" ht="19.899999999999999" customHeight="1">
      <c r="B122" s="682" t="s">
        <v>127</v>
      </c>
      <c r="C122" s="683"/>
      <c r="D122" s="88">
        <f>SUMIF($P$13:$P$112,"38T*200*4800",$O$13:$O$112)</f>
        <v>0</v>
      </c>
      <c r="E122" s="90">
        <f>CEILING(D122/4800, 1)</f>
        <v>0</v>
      </c>
      <c r="U122" s="692"/>
      <c r="V122" s="693"/>
      <c r="W122" s="693"/>
      <c r="X122" s="693"/>
      <c r="Y122" s="689"/>
    </row>
    <row r="123" spans="1:25" ht="19.899999999999999" customHeight="1">
      <c r="B123" s="682" t="s">
        <v>95</v>
      </c>
      <c r="C123" s="683"/>
      <c r="D123" s="88">
        <f>SUMIF($P$13:$P$112,"38T*400*4800",$O$13:$O$112)</f>
        <v>0</v>
      </c>
      <c r="E123" s="90">
        <f>CEILING(D123/4800, 1)</f>
        <v>0</v>
      </c>
      <c r="H123" s="67"/>
      <c r="U123" s="692" t="s">
        <v>375</v>
      </c>
      <c r="V123" s="693"/>
      <c r="W123" s="693"/>
      <c r="X123" s="693"/>
      <c r="Y123" s="696">
        <f>Y121/Y117</f>
        <v>0.12216532553035844</v>
      </c>
    </row>
    <row r="124" spans="1:25" ht="19.899999999999999" customHeight="1" thickBot="1">
      <c r="B124" s="682" t="s">
        <v>97</v>
      </c>
      <c r="C124" s="683"/>
      <c r="D124" s="88">
        <f>SUMIF($P$13:$P$112,"38T*600*4800",$O$13:$O$112)</f>
        <v>0</v>
      </c>
      <c r="E124" s="90">
        <f>CEILING(D124/4800, 1)</f>
        <v>0</v>
      </c>
      <c r="U124" s="694"/>
      <c r="V124" s="695"/>
      <c r="W124" s="695"/>
      <c r="X124" s="695"/>
      <c r="Y124" s="697"/>
    </row>
    <row r="125" spans="1:25" ht="19.899999999999999" customHeight="1">
      <c r="B125" s="682" t="s">
        <v>434</v>
      </c>
      <c r="C125" s="683"/>
      <c r="D125" s="88">
        <f>SUMIF($P$13:$P$112,"50T*200*3600 + 50T*400*3600 * 2",$O$13:$O$112)</f>
        <v>0</v>
      </c>
      <c r="E125" s="90">
        <f>CEILING(D125/4800, 1)</f>
        <v>0</v>
      </c>
      <c r="U125" s="440"/>
      <c r="V125" s="440"/>
      <c r="W125" s="440"/>
      <c r="X125" s="440"/>
      <c r="Y125" s="441"/>
    </row>
    <row r="126" spans="1:25" ht="19.899999999999999" customHeight="1">
      <c r="B126" s="682" t="s">
        <v>435</v>
      </c>
      <c r="C126" s="683"/>
      <c r="D126" s="88">
        <f>SUMIF($P$13:$P$112,"50T*200*3600 + 50T*400*3600 * 2",$O$13:$O$112) * 2</f>
        <v>0</v>
      </c>
      <c r="E126" s="90">
        <f>CEILING(D126/3600, 1)</f>
        <v>0</v>
      </c>
      <c r="U126" s="440"/>
      <c r="V126" s="440"/>
      <c r="W126" s="440"/>
      <c r="X126" s="440"/>
      <c r="Y126" s="441"/>
    </row>
    <row r="127" spans="1:25" ht="19.899999999999999" customHeight="1" thickBot="1">
      <c r="B127" s="684" t="s">
        <v>99</v>
      </c>
      <c r="C127" s="685"/>
      <c r="D127" s="91"/>
      <c r="E127" s="92">
        <f>ROUNDUP(SUM($S$13:$S$112), 0)</f>
        <v>0</v>
      </c>
    </row>
    <row r="128" spans="1:25" ht="19.899999999999999" customHeight="1"/>
    <row r="129" spans="25:25" ht="19.899999999999999" customHeight="1"/>
    <row r="131" spans="25:25" ht="17.45" customHeight="1">
      <c r="Y131" s="25"/>
    </row>
    <row r="134" spans="25:25">
      <c r="Y134" s="25"/>
    </row>
    <row r="139" spans="25:25" ht="17.45" customHeight="1"/>
    <row r="140" spans="25:25" ht="17.45" customHeight="1"/>
    <row r="141" spans="25:25" ht="17.45" customHeight="1"/>
    <row r="142" spans="25:25" ht="17.45" customHeight="1"/>
    <row r="143" spans="25:25" ht="17.45" customHeight="1"/>
    <row r="144" spans="25:25" ht="17.45" customHeight="1"/>
    <row r="145" ht="17.45" customHeight="1"/>
    <row r="146" ht="17.45" customHeight="1"/>
    <row r="147" ht="18" customHeight="1"/>
  </sheetData>
  <mergeCells count="27">
    <mergeCell ref="U117:X118"/>
    <mergeCell ref="B117:E118"/>
    <mergeCell ref="U119:X120"/>
    <mergeCell ref="U121:X122"/>
    <mergeCell ref="Y117:Y118"/>
    <mergeCell ref="F2:G3"/>
    <mergeCell ref="F5:G6"/>
    <mergeCell ref="B2:D6"/>
    <mergeCell ref="T114:Y115"/>
    <mergeCell ref="B8:B9"/>
    <mergeCell ref="B11:Y11"/>
    <mergeCell ref="T112:Y113"/>
    <mergeCell ref="C8:D9"/>
    <mergeCell ref="F8:G9"/>
    <mergeCell ref="B123:C123"/>
    <mergeCell ref="B124:C124"/>
    <mergeCell ref="B127:C127"/>
    <mergeCell ref="Y119:Y120"/>
    <mergeCell ref="Y121:Y122"/>
    <mergeCell ref="B119:C119"/>
    <mergeCell ref="B120:C120"/>
    <mergeCell ref="B121:C121"/>
    <mergeCell ref="B122:C122"/>
    <mergeCell ref="U123:X124"/>
    <mergeCell ref="Y123:Y124"/>
    <mergeCell ref="B126:C126"/>
    <mergeCell ref="B125:C125"/>
  </mergeCells>
  <phoneticPr fontId="2" type="noConversion"/>
  <dataValidations count="10">
    <dataValidation type="list" allowBlank="1" showInputMessage="1" showErrorMessage="1" sqref="C115" xr:uid="{81344D2C-1169-40E1-9EAD-CBE4CA78B6E3}">
      <formula1>INDIRECT("'단가고정구(" &amp; C8 &amp; ")'!$B$9:$B$385")</formula1>
    </dataValidation>
    <dataValidation type="list" allowBlank="1" showInputMessage="1" showErrorMessage="1" sqref="C114" xr:uid="{89DA8A0A-A279-49AE-94CF-347192DF783A}">
      <formula1>INDIRECT("'단가고정구(" &amp; C8 &amp; ")'!$B$9:$B$385")</formula1>
    </dataValidation>
    <dataValidation type="list" allowBlank="1" showInputMessage="1" showErrorMessage="1" sqref="C113" xr:uid="{4BEEB919-A28A-48F6-8430-7823BCCB60AC}">
      <formula1>INDIRECT("'단가고정구(" &amp; C8 &amp; ")'!$B$9:$B$385")</formula1>
    </dataValidation>
    <dataValidation type="list" allowBlank="1" showInputMessage="1" showErrorMessage="1" sqref="C112" xr:uid="{BA23F769-7199-4A1A-AE88-258D6191BBB4}">
      <formula1>INDIRECT("'단가고정구(" &amp; C8 &amp; ")'!$B$9:$B$385")</formula1>
    </dataValidation>
    <dataValidation type="list" allowBlank="1" showInputMessage="1" showErrorMessage="1" sqref="C110" xr:uid="{285B0BBC-1835-4710-A8D7-F45A2B473AC4}">
      <formula1>INDIRECT("'단가고정구(" &amp; C8 &amp; ")'!$B$9:$B$385")</formula1>
    </dataValidation>
    <dataValidation type="list" allowBlank="1" showInputMessage="1" showErrorMessage="1" sqref="C100" xr:uid="{2AB55EFC-6671-4C40-9B98-3F69E6289E3E}">
      <formula1>INDIRECT("'단가고정구(" &amp; $C$8 &amp; ")'!$B$9:$B$385")</formula1>
    </dataValidation>
    <dataValidation type="list" allowBlank="1" showInputMessage="1" showErrorMessage="1" sqref="C111" xr:uid="{06ECE52F-692D-48ED-AB53-6BC3D4D3874C}">
      <formula1>INDIRECT("'단가고정구(" &amp; C8 &amp; ")'!$B$9:$B$385")</formula1>
    </dataValidation>
    <dataValidation type="list" allowBlank="1" showInputMessage="1" showErrorMessage="1" sqref="C13:C98" xr:uid="{D8A2A64A-1195-4F9D-9050-909226BBF49C}">
      <formula1>INDIRECT("'단가표'!$B$9:$B$386")</formula1>
    </dataValidation>
    <dataValidation type="list" allowBlank="1" showInputMessage="1" showErrorMessage="1" sqref="E13:E111" xr:uid="{533F6505-6186-419D-9E27-A33392CB26EE}">
      <formula1>INDIRECT($D13)</formula1>
    </dataValidation>
    <dataValidation type="list" allowBlank="1" showInputMessage="1" showErrorMessage="1" sqref="D13:D111" xr:uid="{E30BF10E-D570-4C69-9AF4-22BB6547EBE6}">
      <formula1>INDIRECT($C13)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B9010-7E9D-4D52-B650-04EEC5EEEFBB}">
  <sheetPr codeName="Sheet4">
    <tabColor theme="7" tint="0.39997558519241921"/>
    <pageSetUpPr fitToPage="1"/>
  </sheetPr>
  <dimension ref="A1:N51"/>
  <sheetViews>
    <sheetView view="pageBreakPreview" zoomScale="55" zoomScaleNormal="55" zoomScaleSheetLayoutView="55" workbookViewId="0">
      <pane ySplit="6" topLeftCell="A7" activePane="bottomLeft" state="frozen"/>
      <selection activeCell="C1" sqref="C1"/>
      <selection pane="bottomLeft" activeCell="F46" sqref="F46"/>
    </sheetView>
  </sheetViews>
  <sheetFormatPr defaultRowHeight="16.5"/>
  <cols>
    <col min="2" max="2" width="17.625" bestFit="1" customWidth="1"/>
    <col min="3" max="3" width="42.875" bestFit="1" customWidth="1"/>
    <col min="4" max="4" width="17.125" bestFit="1" customWidth="1"/>
    <col min="5" max="5" width="14.25" bestFit="1" customWidth="1"/>
    <col min="6" max="6" width="49.5" customWidth="1"/>
    <col min="7" max="7" width="22" bestFit="1" customWidth="1"/>
    <col min="9" max="9" width="11.75" style="67" bestFit="1" customWidth="1"/>
    <col min="10" max="10" width="23.375" customWidth="1"/>
    <col min="11" max="11" width="12.125" customWidth="1"/>
    <col min="12" max="12" width="14" customWidth="1"/>
    <col min="13" max="13" width="18.75" bestFit="1" customWidth="1"/>
    <col min="14" max="14" width="20.75" bestFit="1" customWidth="1"/>
    <col min="17" max="17" width="8.875" customWidth="1"/>
    <col min="19" max="19" width="34.125" bestFit="1" customWidth="1"/>
    <col min="20" max="20" width="31.875" bestFit="1" customWidth="1"/>
    <col min="21" max="21" width="11.125" customWidth="1"/>
    <col min="26" max="26" width="33.5" bestFit="1" customWidth="1"/>
    <col min="27" max="27" width="15.375" customWidth="1"/>
  </cols>
  <sheetData>
    <row r="1" spans="2:14" ht="19.7" customHeight="1" thickBot="1"/>
    <row r="2" spans="2:14" ht="19.7" customHeight="1">
      <c r="B2" s="747" t="s">
        <v>2</v>
      </c>
      <c r="C2" s="749" t="str">
        <f>'1.발주접수'!C5</f>
        <v>예시용</v>
      </c>
      <c r="E2" s="747" t="s">
        <v>5</v>
      </c>
      <c r="F2" s="733" t="str">
        <f>'1.발주접수'!C8</f>
        <v>현장명 예시</v>
      </c>
      <c r="G2" s="734"/>
    </row>
    <row r="3" spans="2:14" ht="18" customHeight="1" thickBot="1">
      <c r="B3" s="748"/>
      <c r="C3" s="750"/>
      <c r="E3" s="748"/>
      <c r="F3" s="735"/>
      <c r="G3" s="736"/>
      <c r="I3" s="72"/>
      <c r="J3" s="55"/>
    </row>
    <row r="4" spans="2:14" ht="17.25" thickBot="1"/>
    <row r="5" spans="2:14" ht="17.25">
      <c r="B5" s="725" t="s">
        <v>37</v>
      </c>
      <c r="C5" s="726"/>
      <c r="D5" s="726"/>
      <c r="E5" s="726"/>
      <c r="F5" s="726"/>
      <c r="G5" s="726"/>
      <c r="H5" s="726"/>
      <c r="I5" s="726"/>
      <c r="J5" s="726"/>
      <c r="K5" s="726"/>
      <c r="L5" s="727"/>
      <c r="M5" s="727"/>
      <c r="N5" s="728"/>
    </row>
    <row r="6" spans="2:14" ht="17.25" thickBot="1">
      <c r="B6" s="262"/>
      <c r="C6" s="263" t="s">
        <v>74</v>
      </c>
      <c r="D6" s="263" t="s">
        <v>54</v>
      </c>
      <c r="E6" s="263" t="s">
        <v>38</v>
      </c>
      <c r="F6" s="263" t="s">
        <v>83</v>
      </c>
      <c r="G6" s="263" t="s">
        <v>14</v>
      </c>
      <c r="H6" s="263" t="s">
        <v>15</v>
      </c>
      <c r="I6" s="264" t="s">
        <v>16</v>
      </c>
      <c r="J6" s="263" t="s">
        <v>82</v>
      </c>
      <c r="K6" s="265" t="s">
        <v>53</v>
      </c>
      <c r="L6" s="266" t="s">
        <v>70</v>
      </c>
      <c r="M6" s="266" t="s">
        <v>115</v>
      </c>
      <c r="N6" s="267" t="s">
        <v>19</v>
      </c>
    </row>
    <row r="7" spans="2:14" ht="26.45" customHeight="1">
      <c r="B7" s="35">
        <v>1</v>
      </c>
      <c r="C7" s="43" t="str">
        <f>'2.고정구단가산출'!C13</f>
        <v>벽체_강관</v>
      </c>
      <c r="D7" s="43" t="str">
        <f>'2.고정구단가산출'!D13</f>
        <v>벽체_강관_15A</v>
      </c>
      <c r="E7" s="44" t="str">
        <f>'2.고정구단가산출'!E13</f>
        <v>50A</v>
      </c>
      <c r="F7" s="38" t="str">
        <f>'2.고정구단가산출'!F13</f>
        <v>내화채움구조(벽체,강관용)</v>
      </c>
      <c r="G7" s="39" t="str">
        <f>'2.고정구단가산출'!G13</f>
        <v>15*25</v>
      </c>
      <c r="H7" s="39" t="str">
        <f>'2.고정구단가산출'!H13</f>
        <v>개소</v>
      </c>
      <c r="I7" s="73">
        <f>'2.고정구단가산출'!I13</f>
        <v>3</v>
      </c>
      <c r="J7" s="39"/>
      <c r="K7" s="106">
        <f>'2.고정구단가산출'!T13</f>
        <v>3990</v>
      </c>
      <c r="L7" s="83">
        <f>'2.고정구단가산출'!V13</f>
        <v>4540</v>
      </c>
      <c r="M7" s="83">
        <f>'2.고정구단가산출'!W13</f>
        <v>11970</v>
      </c>
      <c r="N7" s="37">
        <f>'2.고정구단가산출'!Y13</f>
        <v>13620</v>
      </c>
    </row>
    <row r="8" spans="2:14" ht="26.45" customHeight="1">
      <c r="B8" s="35">
        <f>B7+1</f>
        <v>2</v>
      </c>
      <c r="C8" s="43">
        <f>'2.고정구단가산출'!C14</f>
        <v>0</v>
      </c>
      <c r="D8" s="43">
        <f>'2.고정구단가산출'!D14</f>
        <v>0</v>
      </c>
      <c r="E8" s="44">
        <f>'2.고정구단가산출'!E14</f>
        <v>0</v>
      </c>
      <c r="F8" s="38">
        <f>'2.고정구단가산출'!F14</f>
        <v>0</v>
      </c>
      <c r="G8" s="39">
        <f>'2.고정구단가산출'!G14</f>
        <v>0</v>
      </c>
      <c r="H8" s="39">
        <f>'2.고정구단가산출'!H14</f>
        <v>0</v>
      </c>
      <c r="I8" s="74">
        <f>'2.고정구단가산출'!I14</f>
        <v>0</v>
      </c>
      <c r="J8" s="39"/>
      <c r="K8" s="106">
        <f>'2.고정구단가산출'!T14</f>
        <v>0</v>
      </c>
      <c r="L8" s="83">
        <f>'2.고정구단가산출'!V14</f>
        <v>0</v>
      </c>
      <c r="M8" s="83">
        <f>'2.고정구단가산출'!W14</f>
        <v>0</v>
      </c>
      <c r="N8" s="37">
        <f>'2.고정구단가산출'!Y14</f>
        <v>0</v>
      </c>
    </row>
    <row r="9" spans="2:14" ht="26.45" customHeight="1">
      <c r="B9" s="35">
        <f t="shared" ref="B9:B14" si="0">B8+1</f>
        <v>3</v>
      </c>
      <c r="C9" s="43">
        <f>'2.고정구단가산출'!C15</f>
        <v>0</v>
      </c>
      <c r="D9" s="43">
        <f>'2.고정구단가산출'!D15</f>
        <v>0</v>
      </c>
      <c r="E9" s="44">
        <f>'2.고정구단가산출'!E15</f>
        <v>0</v>
      </c>
      <c r="F9" s="38">
        <f>'2.고정구단가산출'!F15</f>
        <v>0</v>
      </c>
      <c r="G9" s="39">
        <f>'2.고정구단가산출'!G15</f>
        <v>0</v>
      </c>
      <c r="H9" s="39">
        <f>'2.고정구단가산출'!H15</f>
        <v>0</v>
      </c>
      <c r="I9" s="74">
        <f>'2.고정구단가산출'!I15</f>
        <v>0</v>
      </c>
      <c r="J9" s="39"/>
      <c r="K9" s="106">
        <f>'2.고정구단가산출'!T15</f>
        <v>0</v>
      </c>
      <c r="L9" s="83">
        <f>'2.고정구단가산출'!V15</f>
        <v>0</v>
      </c>
      <c r="M9" s="83">
        <f>'2.고정구단가산출'!W15</f>
        <v>0</v>
      </c>
      <c r="N9" s="37">
        <f>'2.고정구단가산출'!Y15</f>
        <v>0</v>
      </c>
    </row>
    <row r="10" spans="2:14" ht="26.45" customHeight="1">
      <c r="B10" s="35">
        <f t="shared" si="0"/>
        <v>4</v>
      </c>
      <c r="C10" s="43">
        <f>'2.고정구단가산출'!C16</f>
        <v>0</v>
      </c>
      <c r="D10" s="43">
        <f>'2.고정구단가산출'!D16</f>
        <v>0</v>
      </c>
      <c r="E10" s="44">
        <f>'2.고정구단가산출'!E16</f>
        <v>0</v>
      </c>
      <c r="F10" s="38">
        <f>'2.고정구단가산출'!F16</f>
        <v>0</v>
      </c>
      <c r="G10" s="39">
        <f>'2.고정구단가산출'!G16</f>
        <v>0</v>
      </c>
      <c r="H10" s="39">
        <f>'2.고정구단가산출'!H16</f>
        <v>0</v>
      </c>
      <c r="I10" s="74">
        <f>'2.고정구단가산출'!I16</f>
        <v>0</v>
      </c>
      <c r="J10" s="39"/>
      <c r="K10" s="106">
        <f>'2.고정구단가산출'!T16</f>
        <v>0</v>
      </c>
      <c r="L10" s="83">
        <f>'2.고정구단가산출'!V16</f>
        <v>0</v>
      </c>
      <c r="M10" s="83">
        <f>'2.고정구단가산출'!W16</f>
        <v>0</v>
      </c>
      <c r="N10" s="37">
        <f>'2.고정구단가산출'!Y16</f>
        <v>0</v>
      </c>
    </row>
    <row r="11" spans="2:14" ht="26.45" customHeight="1">
      <c r="B11" s="35">
        <f t="shared" si="0"/>
        <v>5</v>
      </c>
      <c r="C11" s="43">
        <f>'2.고정구단가산출'!C17</f>
        <v>0</v>
      </c>
      <c r="D11" s="43">
        <f>'2.고정구단가산출'!D17</f>
        <v>0</v>
      </c>
      <c r="E11" s="44">
        <f>'2.고정구단가산출'!E17</f>
        <v>0</v>
      </c>
      <c r="F11" s="38">
        <f>'2.고정구단가산출'!F17</f>
        <v>0</v>
      </c>
      <c r="G11" s="39">
        <f>'2.고정구단가산출'!G17</f>
        <v>0</v>
      </c>
      <c r="H11" s="39">
        <f>'2.고정구단가산출'!H17</f>
        <v>0</v>
      </c>
      <c r="I11" s="74">
        <f>'2.고정구단가산출'!I17</f>
        <v>0</v>
      </c>
      <c r="J11" s="39"/>
      <c r="K11" s="106">
        <f>'2.고정구단가산출'!T17</f>
        <v>0</v>
      </c>
      <c r="L11" s="83">
        <f>'2.고정구단가산출'!V17</f>
        <v>0</v>
      </c>
      <c r="M11" s="83">
        <f>'2.고정구단가산출'!W17</f>
        <v>0</v>
      </c>
      <c r="N11" s="37">
        <f>'2.고정구단가산출'!Y17</f>
        <v>0</v>
      </c>
    </row>
    <row r="12" spans="2:14" ht="26.45" customHeight="1">
      <c r="B12" s="35">
        <f t="shared" si="0"/>
        <v>6</v>
      </c>
      <c r="C12" s="43">
        <f>'2.고정구단가산출'!C18</f>
        <v>0</v>
      </c>
      <c r="D12" s="43">
        <f>'2.고정구단가산출'!D18</f>
        <v>0</v>
      </c>
      <c r="E12" s="44">
        <f>'2.고정구단가산출'!E18</f>
        <v>0</v>
      </c>
      <c r="F12" s="38">
        <f>'2.고정구단가산출'!F18</f>
        <v>0</v>
      </c>
      <c r="G12" s="39">
        <f>'2.고정구단가산출'!G18</f>
        <v>0</v>
      </c>
      <c r="H12" s="39">
        <f>'2.고정구단가산출'!H18</f>
        <v>0</v>
      </c>
      <c r="I12" s="74">
        <f>'2.고정구단가산출'!I18</f>
        <v>0</v>
      </c>
      <c r="J12" s="39"/>
      <c r="K12" s="106">
        <f>'2.고정구단가산출'!T18</f>
        <v>0</v>
      </c>
      <c r="L12" s="83">
        <f>'2.고정구단가산출'!V18</f>
        <v>0</v>
      </c>
      <c r="M12" s="83">
        <f>'2.고정구단가산출'!W18</f>
        <v>0</v>
      </c>
      <c r="N12" s="37">
        <f>'2.고정구단가산출'!Y18</f>
        <v>0</v>
      </c>
    </row>
    <row r="13" spans="2:14" ht="26.1" customHeight="1">
      <c r="B13" s="35">
        <f t="shared" si="0"/>
        <v>7</v>
      </c>
      <c r="C13" s="43">
        <f>'2.고정구단가산출'!C110</f>
        <v>0</v>
      </c>
      <c r="D13" s="43">
        <f>'2.고정구단가산출'!D110</f>
        <v>0</v>
      </c>
      <c r="E13" s="44">
        <f>'2.고정구단가산출'!E110</f>
        <v>0</v>
      </c>
      <c r="F13" s="38">
        <f>'2.고정구단가산출'!F110</f>
        <v>0</v>
      </c>
      <c r="G13" s="38">
        <f>'2.고정구단가산출'!G110</f>
        <v>0</v>
      </c>
      <c r="H13" s="40">
        <f>'2.고정구단가산출'!H110</f>
        <v>0</v>
      </c>
      <c r="I13" s="74">
        <f>'2.고정구단가산출'!I110</f>
        <v>0</v>
      </c>
      <c r="J13" s="41"/>
      <c r="K13" s="82">
        <f>'2.고정구단가산출'!T110</f>
        <v>0</v>
      </c>
      <c r="L13" s="83">
        <f>'2.고정구단가산출'!V110</f>
        <v>0</v>
      </c>
      <c r="M13" s="83">
        <f>'2.고정구단가산출'!W110</f>
        <v>0</v>
      </c>
      <c r="N13" s="37">
        <f>'2.고정구단가산출'!Y110</f>
        <v>0</v>
      </c>
    </row>
    <row r="14" spans="2:14" ht="26.1" customHeight="1">
      <c r="B14" s="35">
        <f t="shared" si="0"/>
        <v>8</v>
      </c>
      <c r="C14" s="43">
        <f>'2.고정구단가산출'!C111</f>
        <v>0</v>
      </c>
      <c r="D14" s="43">
        <f>'2.고정구단가산출'!D111</f>
        <v>0</v>
      </c>
      <c r="E14" s="44">
        <f>'2.고정구단가산출'!E111</f>
        <v>0</v>
      </c>
      <c r="F14" s="38">
        <f>'2.고정구단가산출'!F111</f>
        <v>0</v>
      </c>
      <c r="G14" s="38">
        <f>'2.고정구단가산출'!G111</f>
        <v>0</v>
      </c>
      <c r="H14" s="40">
        <f>'2.고정구단가산출'!H111</f>
        <v>0</v>
      </c>
      <c r="I14" s="74">
        <f>'2.고정구단가산출'!I111</f>
        <v>0</v>
      </c>
      <c r="J14" s="41"/>
      <c r="K14" s="82">
        <f>'2.고정구단가산출'!T111</f>
        <v>0</v>
      </c>
      <c r="L14" s="83">
        <f>'2.고정구단가산출'!V111</f>
        <v>0</v>
      </c>
      <c r="M14" s="83">
        <f>'2.고정구단가산출'!W111</f>
        <v>36000</v>
      </c>
      <c r="N14" s="37">
        <f>'2.고정구단가산출'!Y111</f>
        <v>41010</v>
      </c>
    </row>
    <row r="15" spans="2:14" ht="26.45" customHeight="1">
      <c r="B15" s="59"/>
      <c r="C15" s="60"/>
      <c r="D15" s="60"/>
      <c r="E15" s="60"/>
      <c r="F15" s="60"/>
      <c r="G15" s="60"/>
      <c r="H15" s="61"/>
      <c r="I15" s="75"/>
      <c r="J15" s="62"/>
      <c r="K15" s="729" t="s">
        <v>75</v>
      </c>
      <c r="L15" s="730"/>
      <c r="M15" s="731"/>
      <c r="N15" s="732"/>
    </row>
    <row r="16" spans="2:14" ht="20.25">
      <c r="B16" s="59"/>
      <c r="C16" s="60"/>
      <c r="D16" s="60"/>
      <c r="E16" s="60"/>
      <c r="F16" s="60"/>
      <c r="G16" s="60"/>
      <c r="H16" s="61"/>
      <c r="I16" s="75"/>
      <c r="J16" s="62"/>
      <c r="K16" s="729"/>
      <c r="L16" s="730"/>
      <c r="M16" s="731"/>
      <c r="N16" s="732"/>
    </row>
    <row r="17" spans="1:14" ht="20.25">
      <c r="B17" s="59"/>
      <c r="C17" s="60"/>
      <c r="D17" s="60"/>
      <c r="E17" s="60"/>
      <c r="F17" s="60"/>
      <c r="G17" s="60"/>
      <c r="H17" s="61"/>
      <c r="I17" s="75"/>
      <c r="J17" s="62"/>
      <c r="K17" s="715">
        <f>'2.고정구단가산출'!T114</f>
        <v>41010</v>
      </c>
      <c r="L17" s="716"/>
      <c r="M17" s="717"/>
      <c r="N17" s="718"/>
    </row>
    <row r="18" spans="1:14" ht="21" thickBot="1">
      <c r="B18" s="63"/>
      <c r="C18" s="64"/>
      <c r="D18" s="64"/>
      <c r="E18" s="64"/>
      <c r="F18" s="64"/>
      <c r="G18" s="64"/>
      <c r="H18" s="65"/>
      <c r="I18" s="76"/>
      <c r="J18" s="66"/>
      <c r="K18" s="719"/>
      <c r="L18" s="720"/>
      <c r="M18" s="721"/>
      <c r="N18" s="722"/>
    </row>
    <row r="19" spans="1:14" ht="17.25" thickBot="1"/>
    <row r="20" spans="1:14" ht="17.45" customHeight="1">
      <c r="J20" s="107"/>
      <c r="K20" s="738" t="s">
        <v>106</v>
      </c>
      <c r="L20" s="740"/>
      <c r="M20" s="740"/>
      <c r="N20" s="746">
        <f>'2.고정구단가산출'!Y117</f>
        <v>41010</v>
      </c>
    </row>
    <row r="21" spans="1:14" ht="17.45" customHeight="1">
      <c r="A21" t="s">
        <v>84</v>
      </c>
      <c r="K21" s="741"/>
      <c r="L21" s="743"/>
      <c r="M21" s="743"/>
      <c r="N21" s="687"/>
    </row>
    <row r="22" spans="1:14" ht="17.45" customHeight="1">
      <c r="K22" s="741" t="s">
        <v>107</v>
      </c>
      <c r="L22" s="743"/>
      <c r="M22" s="743"/>
      <c r="N22" s="754">
        <f>'2.고정구단가산출'!Y119</f>
        <v>36000</v>
      </c>
    </row>
    <row r="23" spans="1:14" ht="19.899999999999999" customHeight="1">
      <c r="K23" s="741"/>
      <c r="L23" s="743"/>
      <c r="M23" s="743"/>
      <c r="N23" s="755"/>
    </row>
    <row r="24" spans="1:14" ht="19.899999999999999" customHeight="1">
      <c r="K24" s="756" t="s">
        <v>108</v>
      </c>
      <c r="L24" s="757"/>
      <c r="M24" s="758"/>
      <c r="N24" s="754">
        <f>'2.고정구단가산출'!Y121</f>
        <v>5010</v>
      </c>
    </row>
    <row r="25" spans="1:14" ht="19.899999999999999" customHeight="1">
      <c r="K25" s="759"/>
      <c r="L25" s="760"/>
      <c r="M25" s="761"/>
      <c r="N25" s="755"/>
    </row>
    <row r="26" spans="1:14" ht="19.899999999999999" customHeight="1">
      <c r="K26" s="741" t="s">
        <v>375</v>
      </c>
      <c r="L26" s="743"/>
      <c r="M26" s="743"/>
      <c r="N26" s="752">
        <f>'2.고정구단가산출'!Y123</f>
        <v>0.12216532553035844</v>
      </c>
    </row>
    <row r="27" spans="1:14" ht="19.899999999999999" customHeight="1" thickBot="1">
      <c r="K27" s="751"/>
      <c r="L27" s="695"/>
      <c r="M27" s="695"/>
      <c r="N27" s="753"/>
    </row>
    <row r="28" spans="1:14" ht="19.899999999999999" customHeight="1">
      <c r="H28" s="67"/>
      <c r="N28" s="86"/>
    </row>
    <row r="29" spans="1:14" ht="19.899999999999999" customHeight="1"/>
    <row r="30" spans="1:14" ht="19.899999999999999" customHeight="1"/>
    <row r="31" spans="1:14" ht="19.899999999999999" customHeight="1"/>
    <row r="32" spans="1:14" ht="19.899999999999999" customHeight="1"/>
    <row r="33" spans="14:14" ht="19.899999999999999" customHeight="1">
      <c r="N33" s="85"/>
    </row>
    <row r="43" spans="14:14" ht="17.45" customHeight="1"/>
    <row r="44" spans="14:14" ht="17.45" customHeight="1"/>
    <row r="45" spans="14:14" ht="17.45" customHeight="1"/>
    <row r="46" spans="14:14" ht="17.45" customHeight="1"/>
    <row r="47" spans="14:14" ht="17.45" customHeight="1"/>
    <row r="48" spans="14:14" ht="17.45" customHeight="1"/>
    <row r="49" ht="17.45" customHeight="1"/>
    <row r="50" ht="17.45" customHeight="1"/>
    <row r="51" ht="18" customHeight="1"/>
  </sheetData>
  <mergeCells count="15">
    <mergeCell ref="B2:B3"/>
    <mergeCell ref="C2:C3"/>
    <mergeCell ref="B5:N5"/>
    <mergeCell ref="K26:M27"/>
    <mergeCell ref="N26:N27"/>
    <mergeCell ref="E2:E3"/>
    <mergeCell ref="K15:N16"/>
    <mergeCell ref="K17:N18"/>
    <mergeCell ref="K20:M21"/>
    <mergeCell ref="N20:N21"/>
    <mergeCell ref="K22:M23"/>
    <mergeCell ref="N22:N23"/>
    <mergeCell ref="F2:G3"/>
    <mergeCell ref="K24:M25"/>
    <mergeCell ref="N24:N25"/>
  </mergeCells>
  <phoneticPr fontId="2" type="noConversion"/>
  <dataValidations count="9">
    <dataValidation type="list" allowBlank="1" showInputMessage="1" showErrorMessage="1" sqref="C14" xr:uid="{DC30197C-2F81-4592-879B-1A6238EEEFD7}">
      <formula1>INDIRECT("'단가고정구(" &amp; C2 &amp; ")'!$B$9:$B$385")</formula1>
    </dataValidation>
    <dataValidation type="list" allowBlank="1" showInputMessage="1" showErrorMessage="1" sqref="C13" xr:uid="{9EF9DE47-DB7D-441F-A05C-F7FF4B6F562B}">
      <formula1>INDIRECT("'단가고정구(" &amp; C2 &amp; ")'!$B$9:$B$385")</formula1>
    </dataValidation>
    <dataValidation type="list" allowBlank="1" showInputMessage="1" showErrorMessage="1" sqref="C15" xr:uid="{56FD146E-6AD8-4E0D-A408-51511677AD92}">
      <formula1>INDIRECT("'단가고정구(" &amp; C2 &amp; ")'!$B$9:$B$385")</formula1>
    </dataValidation>
    <dataValidation type="list" allowBlank="1" showInputMessage="1" showErrorMessage="1" sqref="C16" xr:uid="{189CC662-B3B1-4484-8245-AA8520E6FBED}">
      <formula1>INDIRECT("'단가고정구(" &amp; C2 &amp; ")'!$B$9:$B$385")</formula1>
    </dataValidation>
    <dataValidation type="list" allowBlank="1" showInputMessage="1" showErrorMessage="1" sqref="C17" xr:uid="{4E982220-8512-4C1F-9001-ECB3A6E68837}">
      <formula1>INDIRECT("'단가고정구(" &amp; C2 &amp; ")'!$B$9:$B$385")</formula1>
    </dataValidation>
    <dataValidation type="list" allowBlank="1" showInputMessage="1" showErrorMessage="1" sqref="C18" xr:uid="{DD2751EC-DA53-494E-9844-C028BAA8BBD1}">
      <formula1>INDIRECT("'단가고정구(" &amp; C2 &amp; ")'!$B$9:$B$385")</formula1>
    </dataValidation>
    <dataValidation type="list" allowBlank="1" showInputMessage="1" showErrorMessage="1" sqref="C7:C12" xr:uid="{9D0B5785-59C5-47EB-840F-9653B61A7850}">
      <formula1>INDIRECT("'단가표'!$B$9:$B$386")</formula1>
    </dataValidation>
    <dataValidation type="list" allowBlank="1" showInputMessage="1" showErrorMessage="1" sqref="D7:D14" xr:uid="{6437DC05-CCE5-4D5F-BC47-76E290C7C0B3}">
      <formula1>INDIRECT($C7)</formula1>
    </dataValidation>
    <dataValidation type="list" allowBlank="1" showInputMessage="1" showErrorMessage="1" sqref="E7:E14" xr:uid="{8E0BD5F4-FBD6-4469-9B69-56506B9B405D}">
      <formula1>INDIRECT($D7)</formula1>
    </dataValidation>
  </dataValidations>
  <pageMargins left="0.70866141732283472" right="0.70866141732283472" top="0.74803149606299213" bottom="0.74803149606299213" header="0.31496062992125984" footer="0.31496062992125984"/>
  <pageSetup paperSize="9" scale="42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02134-9201-4CBB-B00C-460AF5911435}">
  <sheetPr codeName="Sheet5">
    <tabColor rgb="FFC00000"/>
    <pageSetUpPr fitToPage="1"/>
  </sheetPr>
  <dimension ref="A1:U60"/>
  <sheetViews>
    <sheetView view="pageBreakPreview" topLeftCell="A11" zoomScale="85" zoomScaleNormal="100" zoomScaleSheetLayoutView="85" workbookViewId="0">
      <selection activeCell="K21" sqref="K21"/>
    </sheetView>
  </sheetViews>
  <sheetFormatPr defaultRowHeight="16.5"/>
  <cols>
    <col min="1" max="1" width="5.125" bestFit="1" customWidth="1"/>
    <col min="2" max="2" width="35.375" customWidth="1"/>
    <col min="3" max="3" width="16" customWidth="1"/>
    <col min="4" max="4" width="5.125" customWidth="1"/>
    <col min="5" max="5" width="5.375" style="33" bestFit="1" customWidth="1"/>
    <col min="6" max="6" width="8.75" bestFit="1" customWidth="1"/>
    <col min="7" max="7" width="10.125" bestFit="1" customWidth="1"/>
    <col min="8" max="8" width="36.75" customWidth="1"/>
    <col min="9" max="9" width="15.875" customWidth="1"/>
    <col min="10" max="10" width="9" customWidth="1"/>
    <col min="11" max="11" width="24.125" customWidth="1"/>
    <col min="12" max="12" width="19.875" bestFit="1" customWidth="1"/>
    <col min="13" max="13" width="31" bestFit="1" customWidth="1"/>
    <col min="15" max="15" width="12" bestFit="1" customWidth="1"/>
    <col min="16" max="16" width="47" customWidth="1"/>
    <col min="17" max="17" width="12" bestFit="1" customWidth="1"/>
    <col min="18" max="18" width="11.625" bestFit="1" customWidth="1"/>
    <col min="19" max="19" width="11.375" bestFit="1" customWidth="1"/>
    <col min="20" max="20" width="9.125" bestFit="1" customWidth="1"/>
    <col min="21" max="21" width="9.125" style="15" bestFit="1" customWidth="1"/>
    <col min="22" max="22" width="10.5" bestFit="1" customWidth="1"/>
  </cols>
  <sheetData>
    <row r="1" spans="1:21">
      <c r="J1" s="3"/>
      <c r="K1" s="15"/>
      <c r="U1"/>
    </row>
    <row r="2" spans="1:21" ht="25.35" customHeight="1">
      <c r="A2" s="769" t="s">
        <v>418</v>
      </c>
      <c r="B2" s="769"/>
      <c r="C2" s="769"/>
      <c r="D2" s="769"/>
      <c r="E2" s="769"/>
      <c r="F2" s="769"/>
      <c r="G2" s="769"/>
      <c r="H2" s="769"/>
      <c r="I2" s="769"/>
      <c r="J2" s="7"/>
      <c r="K2" s="15"/>
      <c r="L2" s="16"/>
      <c r="U2"/>
    </row>
    <row r="3" spans="1:21" ht="25.35" customHeight="1">
      <c r="J3" s="7"/>
      <c r="K3" s="15"/>
      <c r="L3" s="16"/>
      <c r="U3"/>
    </row>
    <row r="4" spans="1:21" ht="25.35" customHeight="1">
      <c r="A4" s="770" t="s">
        <v>283</v>
      </c>
      <c r="B4" s="770"/>
      <c r="C4" s="770"/>
      <c r="D4" s="770"/>
      <c r="E4" s="770"/>
      <c r="F4" s="770"/>
      <c r="G4" s="770"/>
      <c r="H4" s="770"/>
      <c r="I4" s="770"/>
      <c r="J4" s="7"/>
      <c r="K4" s="15"/>
      <c r="L4" s="16"/>
      <c r="U4"/>
    </row>
    <row r="5" spans="1:21" ht="25.35" customHeight="1">
      <c r="A5" s="771"/>
      <c r="B5" s="771"/>
      <c r="C5" s="771"/>
      <c r="D5" s="771"/>
      <c r="E5" s="771"/>
      <c r="F5" s="771"/>
      <c r="G5" s="771"/>
      <c r="H5" s="771"/>
      <c r="I5" s="771"/>
      <c r="J5" s="7"/>
      <c r="K5" s="15"/>
      <c r="L5" s="16"/>
      <c r="U5"/>
    </row>
    <row r="6" spans="1:21" ht="25.35" customHeight="1">
      <c r="A6" s="772"/>
      <c r="B6" s="772"/>
      <c r="C6" s="772"/>
      <c r="D6" s="772"/>
      <c r="E6" s="772"/>
      <c r="F6" s="772"/>
      <c r="G6" s="772"/>
      <c r="H6" s="772"/>
      <c r="I6" s="772"/>
      <c r="J6" s="7"/>
      <c r="K6" s="15"/>
      <c r="L6" s="16"/>
      <c r="U6"/>
    </row>
    <row r="7" spans="1:21" ht="25.35" customHeight="1">
      <c r="A7" s="773"/>
      <c r="B7" s="773"/>
      <c r="C7" s="773"/>
      <c r="D7" s="773"/>
      <c r="E7" s="773"/>
      <c r="F7" s="773"/>
      <c r="G7" s="773"/>
      <c r="H7" s="773"/>
      <c r="I7" s="773"/>
      <c r="J7" s="7"/>
      <c r="K7" s="15"/>
      <c r="L7" s="16"/>
      <c r="U7"/>
    </row>
    <row r="8" spans="1:21" ht="2.25" customHeight="1">
      <c r="A8" s="765"/>
      <c r="B8" s="765"/>
      <c r="C8" s="765"/>
      <c r="D8" s="765"/>
      <c r="E8" s="765"/>
      <c r="F8" s="765"/>
      <c r="G8" s="765"/>
      <c r="H8" s="765"/>
      <c r="I8" s="405"/>
      <c r="K8" s="18"/>
      <c r="U8"/>
    </row>
    <row r="9" spans="1:21">
      <c r="A9" s="607"/>
      <c r="B9" s="607"/>
      <c r="C9" s="607"/>
      <c r="D9" s="607"/>
      <c r="E9" s="607"/>
      <c r="F9" s="607"/>
      <c r="G9" s="607"/>
      <c r="H9" s="607"/>
      <c r="K9" s="15"/>
      <c r="L9" s="766" t="str">
        <f>'1.발주접수'!$C$5</f>
        <v>예시용</v>
      </c>
      <c r="M9" s="767" t="s">
        <v>21</v>
      </c>
      <c r="P9" s="768" t="s">
        <v>22</v>
      </c>
      <c r="U9"/>
    </row>
    <row r="10" spans="1:21" ht="19.350000000000001" customHeight="1">
      <c r="A10" s="13"/>
      <c r="B10" s="275"/>
      <c r="C10" s="275"/>
      <c r="D10" s="275"/>
      <c r="E10" s="275"/>
      <c r="G10" s="411"/>
      <c r="H10" s="411"/>
      <c r="I10" s="411"/>
      <c r="K10" s="15"/>
      <c r="L10" s="766"/>
      <c r="M10" s="767"/>
      <c r="P10" s="768"/>
      <c r="U10"/>
    </row>
    <row r="11" spans="1:21" ht="17.45" customHeight="1">
      <c r="A11" s="13"/>
      <c r="B11" s="275"/>
      <c r="C11" s="275"/>
      <c r="D11" s="275"/>
      <c r="E11" s="275"/>
      <c r="G11" s="411"/>
      <c r="H11" s="411"/>
      <c r="I11" s="411"/>
      <c r="K11" s="15"/>
      <c r="L11" s="383" t="s">
        <v>420</v>
      </c>
      <c r="M11" s="276" t="str">
        <f>TEXT(M12,"yyyy-mm-dd")</f>
        <v>2026-02-05</v>
      </c>
      <c r="P11" s="277" t="s">
        <v>30</v>
      </c>
      <c r="U11"/>
    </row>
    <row r="12" spans="1:21" ht="20.25">
      <c r="A12" s="10"/>
      <c r="B12" s="275"/>
      <c r="C12" s="275"/>
      <c r="D12" s="275"/>
      <c r="E12" s="275"/>
      <c r="G12" s="410"/>
      <c r="H12" s="275"/>
      <c r="I12" s="7"/>
      <c r="K12" s="15"/>
      <c r="L12" s="383" t="s">
        <v>421</v>
      </c>
      <c r="M12" s="384">
        <f>'1.발주접수'!$C$6</f>
        <v>46058</v>
      </c>
      <c r="P12" s="277" t="s">
        <v>24</v>
      </c>
      <c r="U12"/>
    </row>
    <row r="13" spans="1:21" ht="17.45" customHeight="1">
      <c r="A13" s="10"/>
      <c r="B13" s="275"/>
      <c r="C13" s="275"/>
      <c r="D13" s="275"/>
      <c r="E13" s="275"/>
      <c r="G13" s="410"/>
      <c r="H13" s="275"/>
      <c r="K13" s="15"/>
      <c r="L13" s="383" t="s">
        <v>422</v>
      </c>
      <c r="M13" s="385" t="str">
        <f>'1.발주접수'!$C$8</f>
        <v>현장명 예시</v>
      </c>
      <c r="P13" s="277" t="s">
        <v>419</v>
      </c>
      <c r="U13"/>
    </row>
    <row r="14" spans="1:21" ht="17.45" customHeight="1">
      <c r="A14" s="10"/>
      <c r="B14" s="275"/>
      <c r="C14" s="275"/>
      <c r="D14" s="275"/>
      <c r="E14" s="275"/>
      <c r="G14" s="410"/>
      <c r="H14" s="275"/>
      <c r="K14" s="15"/>
      <c r="L14" s="412"/>
      <c r="M14" s="413"/>
      <c r="P14" s="382"/>
      <c r="U14"/>
    </row>
    <row r="15" spans="1:21">
      <c r="A15" s="10"/>
      <c r="B15" s="10"/>
      <c r="C15" s="9"/>
      <c r="H15" s="12"/>
      <c r="K15" s="15"/>
      <c r="U15"/>
    </row>
    <row r="16" spans="1:21">
      <c r="A16" s="10"/>
      <c r="B16" s="112" t="s">
        <v>284</v>
      </c>
      <c r="C16" s="9"/>
      <c r="H16" s="24"/>
      <c r="K16" s="15"/>
      <c r="U16"/>
    </row>
    <row r="17" spans="1:21">
      <c r="A17" s="10"/>
      <c r="B17" s="112"/>
      <c r="C17" s="9"/>
      <c r="H17" s="24"/>
      <c r="K17" s="15"/>
      <c r="U17"/>
    </row>
    <row r="18" spans="1:21" ht="20.25">
      <c r="B18" s="406" t="str">
        <f>"[납품금액]"&amp;"一金"&amp;NUMBERSTRING(G53,1)&amp;"원정"</f>
        <v>[납품금액]一金일만삼천육백이십원정</v>
      </c>
      <c r="C18" s="23"/>
      <c r="D18" s="23"/>
      <c r="E18" s="407"/>
      <c r="F18" s="23"/>
      <c r="G18" s="23"/>
      <c r="H18" s="408"/>
      <c r="I18" s="409" t="s">
        <v>27</v>
      </c>
      <c r="K18" s="15"/>
      <c r="U18"/>
    </row>
    <row r="19" spans="1:21" ht="21" customHeight="1">
      <c r="H19" s="24"/>
      <c r="U19"/>
    </row>
    <row r="20" spans="1:21" ht="41.45" customHeight="1">
      <c r="A20" s="397" t="s">
        <v>17</v>
      </c>
      <c r="B20" s="397" t="s">
        <v>423</v>
      </c>
      <c r="C20" s="398" t="s">
        <v>424</v>
      </c>
      <c r="D20" s="397" t="s">
        <v>15</v>
      </c>
      <c r="E20" s="399" t="s">
        <v>16</v>
      </c>
      <c r="F20" s="397" t="s">
        <v>23</v>
      </c>
      <c r="G20" s="397" t="s">
        <v>19</v>
      </c>
      <c r="H20" s="397" t="s">
        <v>28</v>
      </c>
      <c r="I20" s="397" t="s">
        <v>425</v>
      </c>
      <c r="K20" s="15"/>
      <c r="U20"/>
    </row>
    <row r="21" spans="1:21">
      <c r="A21" s="386">
        <v>1</v>
      </c>
      <c r="B21" s="387" t="str">
        <f>'2.고정구단가산출'!F13</f>
        <v>내화채움구조(벽체,강관용)</v>
      </c>
      <c r="C21" s="388" t="str">
        <f>'2.고정구단가산출'!G13</f>
        <v>15*25</v>
      </c>
      <c r="D21" s="388" t="str">
        <f>'2.고정구단가산출'!H13</f>
        <v>개소</v>
      </c>
      <c r="E21" s="389">
        <f>'2.고정구단가산출'!I13</f>
        <v>3</v>
      </c>
      <c r="F21" s="390">
        <f>'2.고정구단가산출'!V13</f>
        <v>4540</v>
      </c>
      <c r="G21" s="391">
        <f>F21*E21</f>
        <v>13620</v>
      </c>
      <c r="H21" s="400" t="str">
        <f>'2.고정구단가산출'!K13</f>
        <v>개구부 간격 33.85mm이하</v>
      </c>
      <c r="I21" s="401" t="str">
        <f>'2.고정구단가산출'!P13</f>
        <v>25T*200*7200</v>
      </c>
      <c r="K21" s="15"/>
      <c r="U21"/>
    </row>
    <row r="22" spans="1:21" ht="24" customHeight="1">
      <c r="A22" s="386">
        <f t="shared" ref="A22:A53" si="0">A21+1</f>
        <v>2</v>
      </c>
      <c r="B22" s="387">
        <f>'2.고정구단가산출'!F14</f>
        <v>0</v>
      </c>
      <c r="C22" s="388">
        <f>'2.고정구단가산출'!G14</f>
        <v>0</v>
      </c>
      <c r="D22" s="388">
        <f>'2.고정구단가산출'!H14</f>
        <v>0</v>
      </c>
      <c r="E22" s="389">
        <f>'2.고정구단가산출'!I14</f>
        <v>0</v>
      </c>
      <c r="F22" s="390">
        <f>'2.고정구단가산출'!V14</f>
        <v>0</v>
      </c>
      <c r="G22" s="391">
        <f t="shared" ref="G22:G28" si="1">F22*E22</f>
        <v>0</v>
      </c>
      <c r="H22" s="400" t="str">
        <f>'2.고정구단가산출'!K14</f>
        <v>판매가 없음</v>
      </c>
      <c r="I22" s="401" t="str">
        <f>'2.고정구단가산출'!P14</f>
        <v>차열재 없음</v>
      </c>
      <c r="K22" s="15"/>
      <c r="U22"/>
    </row>
    <row r="23" spans="1:21" ht="24" customHeight="1">
      <c r="A23" s="386">
        <f t="shared" si="0"/>
        <v>3</v>
      </c>
      <c r="B23" s="387">
        <f>'2.고정구단가산출'!F15</f>
        <v>0</v>
      </c>
      <c r="C23" s="388">
        <f>'2.고정구단가산출'!G15</f>
        <v>0</v>
      </c>
      <c r="D23" s="388">
        <f>'2.고정구단가산출'!H15</f>
        <v>0</v>
      </c>
      <c r="E23" s="389">
        <f>'2.고정구단가산출'!I15</f>
        <v>0</v>
      </c>
      <c r="F23" s="390">
        <f>'2.고정구단가산출'!V15</f>
        <v>0</v>
      </c>
      <c r="G23" s="391">
        <f t="shared" si="1"/>
        <v>0</v>
      </c>
      <c r="H23" s="400" t="str">
        <f>'2.고정구단가산출'!K15</f>
        <v>판매가 없음</v>
      </c>
      <c r="I23" s="401" t="str">
        <f>'2.고정구단가산출'!P15</f>
        <v>차열재 없음</v>
      </c>
      <c r="K23" s="15"/>
      <c r="U23"/>
    </row>
    <row r="24" spans="1:21" ht="24" customHeight="1">
      <c r="A24" s="386">
        <f t="shared" si="0"/>
        <v>4</v>
      </c>
      <c r="B24" s="387">
        <f>'2.고정구단가산출'!F16</f>
        <v>0</v>
      </c>
      <c r="C24" s="388">
        <f>'2.고정구단가산출'!G16</f>
        <v>0</v>
      </c>
      <c r="D24" s="388">
        <f>'2.고정구단가산출'!H16</f>
        <v>0</v>
      </c>
      <c r="E24" s="389">
        <f>'2.고정구단가산출'!I16</f>
        <v>0</v>
      </c>
      <c r="F24" s="390">
        <f>'2.고정구단가산출'!V16</f>
        <v>0</v>
      </c>
      <c r="G24" s="391">
        <f t="shared" si="1"/>
        <v>0</v>
      </c>
      <c r="H24" s="400" t="str">
        <f>'2.고정구단가산출'!K16</f>
        <v>판매가 없음</v>
      </c>
      <c r="I24" s="401" t="str">
        <f>'2.고정구단가산출'!P16</f>
        <v>차열재 없음</v>
      </c>
      <c r="K24" s="15"/>
      <c r="U24"/>
    </row>
    <row r="25" spans="1:21" ht="24" customHeight="1">
      <c r="A25" s="386">
        <f t="shared" si="0"/>
        <v>5</v>
      </c>
      <c r="B25" s="387">
        <f>'2.고정구단가산출'!F17</f>
        <v>0</v>
      </c>
      <c r="C25" s="388">
        <f>'2.고정구단가산출'!G17</f>
        <v>0</v>
      </c>
      <c r="D25" s="388">
        <f>'2.고정구단가산출'!H17</f>
        <v>0</v>
      </c>
      <c r="E25" s="389">
        <f>'2.고정구단가산출'!I17</f>
        <v>0</v>
      </c>
      <c r="F25" s="390">
        <f>'2.고정구단가산출'!V17</f>
        <v>0</v>
      </c>
      <c r="G25" s="391">
        <f t="shared" si="1"/>
        <v>0</v>
      </c>
      <c r="H25" s="400" t="str">
        <f>'2.고정구단가산출'!K17</f>
        <v>판매가 없음</v>
      </c>
      <c r="I25" s="401" t="str">
        <f>'2.고정구단가산출'!P17</f>
        <v>차열재 없음</v>
      </c>
      <c r="K25" s="15"/>
      <c r="U25"/>
    </row>
    <row r="26" spans="1:21" ht="24" customHeight="1">
      <c r="A26" s="386">
        <f t="shared" si="0"/>
        <v>6</v>
      </c>
      <c r="B26" s="387">
        <f>'2.고정구단가산출'!F18</f>
        <v>0</v>
      </c>
      <c r="C26" s="388">
        <f>'2.고정구단가산출'!G18</f>
        <v>0</v>
      </c>
      <c r="D26" s="388">
        <f>'2.고정구단가산출'!H18</f>
        <v>0</v>
      </c>
      <c r="E26" s="389">
        <f>'2.고정구단가산출'!I18</f>
        <v>0</v>
      </c>
      <c r="F26" s="390">
        <f>'2.고정구단가산출'!V18</f>
        <v>0</v>
      </c>
      <c r="G26" s="391">
        <f t="shared" si="1"/>
        <v>0</v>
      </c>
      <c r="H26" s="400" t="str">
        <f>'2.고정구단가산출'!K18</f>
        <v>판매가 없음</v>
      </c>
      <c r="I26" s="401" t="str">
        <f>'2.고정구단가산출'!P18</f>
        <v>차열재 없음</v>
      </c>
      <c r="K26" s="15"/>
      <c r="U26"/>
    </row>
    <row r="27" spans="1:21" ht="24" customHeight="1">
      <c r="A27" s="386">
        <f t="shared" si="0"/>
        <v>7</v>
      </c>
      <c r="B27" s="387">
        <f>'2.고정구단가산출'!F19</f>
        <v>0</v>
      </c>
      <c r="C27" s="388">
        <f>'2.고정구단가산출'!G19</f>
        <v>0</v>
      </c>
      <c r="D27" s="388">
        <f>'2.고정구단가산출'!H19</f>
        <v>0</v>
      </c>
      <c r="E27" s="389">
        <f>'2.고정구단가산출'!I19</f>
        <v>0</v>
      </c>
      <c r="F27" s="390">
        <f>'2.고정구단가산출'!V19</f>
        <v>0</v>
      </c>
      <c r="G27" s="391">
        <f t="shared" si="1"/>
        <v>0</v>
      </c>
      <c r="H27" s="400" t="str">
        <f>'2.고정구단가산출'!K19</f>
        <v>판매가 없음</v>
      </c>
      <c r="I27" s="401" t="str">
        <f>'2.고정구단가산출'!P19</f>
        <v>차열재 없음</v>
      </c>
      <c r="K27" s="15"/>
      <c r="U27"/>
    </row>
    <row r="28" spans="1:21" ht="24" customHeight="1">
      <c r="A28" s="386">
        <f t="shared" si="0"/>
        <v>8</v>
      </c>
      <c r="B28" s="387">
        <f>'2.고정구단가산출'!F20</f>
        <v>0</v>
      </c>
      <c r="C28" s="388">
        <f>'2.고정구단가산출'!G20</f>
        <v>0</v>
      </c>
      <c r="D28" s="388">
        <f>'2.고정구단가산출'!H20</f>
        <v>0</v>
      </c>
      <c r="E28" s="389">
        <f>'2.고정구단가산출'!I20</f>
        <v>0</v>
      </c>
      <c r="F28" s="390">
        <f>'2.고정구단가산출'!V20</f>
        <v>0</v>
      </c>
      <c r="G28" s="391">
        <f t="shared" si="1"/>
        <v>0</v>
      </c>
      <c r="H28" s="400" t="str">
        <f>'2.고정구단가산출'!K20</f>
        <v>판매가 없음</v>
      </c>
      <c r="I28" s="401" t="str">
        <f>'2.고정구단가산출'!P20</f>
        <v>차열재 없음</v>
      </c>
      <c r="K28" s="15"/>
      <c r="U28"/>
    </row>
    <row r="29" spans="1:21" ht="24" customHeight="1">
      <c r="A29" s="386">
        <f t="shared" si="0"/>
        <v>9</v>
      </c>
      <c r="B29" s="387">
        <f>'2.고정구단가산출'!F21</f>
        <v>0</v>
      </c>
      <c r="C29" s="388">
        <f>'2.고정구단가산출'!G21</f>
        <v>0</v>
      </c>
      <c r="D29" s="388">
        <f>'2.고정구단가산출'!H21</f>
        <v>0</v>
      </c>
      <c r="E29" s="389">
        <f>'2.고정구단가산출'!I21</f>
        <v>0</v>
      </c>
      <c r="F29" s="390">
        <f>'2.고정구단가산출'!V21</f>
        <v>0</v>
      </c>
      <c r="G29" s="391">
        <f t="shared" ref="G29:G49" si="2">F29*E29</f>
        <v>0</v>
      </c>
      <c r="H29" s="400"/>
      <c r="I29" s="401" t="str">
        <f>'2.고정구단가산출'!P21</f>
        <v>차열재 없음</v>
      </c>
      <c r="K29" s="15"/>
      <c r="U29"/>
    </row>
    <row r="30" spans="1:21" ht="24" customHeight="1">
      <c r="A30" s="386">
        <f t="shared" si="0"/>
        <v>10</v>
      </c>
      <c r="B30" s="387">
        <f>'2.고정구단가산출'!F22</f>
        <v>0</v>
      </c>
      <c r="C30" s="388">
        <f>'2.고정구단가산출'!G22</f>
        <v>0</v>
      </c>
      <c r="D30" s="388">
        <f>'2.고정구단가산출'!H22</f>
        <v>0</v>
      </c>
      <c r="E30" s="389">
        <f>'2.고정구단가산출'!I22</f>
        <v>0</v>
      </c>
      <c r="F30" s="390">
        <f>'2.고정구단가산출'!V22</f>
        <v>0</v>
      </c>
      <c r="G30" s="391">
        <f t="shared" si="2"/>
        <v>0</v>
      </c>
      <c r="H30" s="400"/>
      <c r="I30" s="401" t="str">
        <f>'2.고정구단가산출'!P22</f>
        <v>차열재 없음</v>
      </c>
      <c r="K30" s="15"/>
      <c r="U30"/>
    </row>
    <row r="31" spans="1:21" ht="24" customHeight="1">
      <c r="A31" s="386">
        <f t="shared" si="0"/>
        <v>11</v>
      </c>
      <c r="B31" s="387">
        <f>'2.고정구단가산출'!F23</f>
        <v>0</v>
      </c>
      <c r="C31" s="388">
        <f>'2.고정구단가산출'!G23</f>
        <v>0</v>
      </c>
      <c r="D31" s="388">
        <f>'2.고정구단가산출'!H23</f>
        <v>0</v>
      </c>
      <c r="E31" s="389">
        <f>'2.고정구단가산출'!I23</f>
        <v>0</v>
      </c>
      <c r="F31" s="390">
        <f>'2.고정구단가산출'!V23</f>
        <v>0</v>
      </c>
      <c r="G31" s="391">
        <f t="shared" si="2"/>
        <v>0</v>
      </c>
      <c r="H31" s="400"/>
      <c r="I31" s="401" t="str">
        <f>'2.고정구단가산출'!P23</f>
        <v>차열재 없음</v>
      </c>
      <c r="K31" s="15"/>
      <c r="U31"/>
    </row>
    <row r="32" spans="1:21" ht="24" customHeight="1">
      <c r="A32" s="386">
        <f t="shared" si="0"/>
        <v>12</v>
      </c>
      <c r="B32" s="387">
        <f>'2.고정구단가산출'!F24</f>
        <v>0</v>
      </c>
      <c r="C32" s="388">
        <f>'2.고정구단가산출'!G24</f>
        <v>0</v>
      </c>
      <c r="D32" s="388">
        <f>'2.고정구단가산출'!H24</f>
        <v>0</v>
      </c>
      <c r="E32" s="389">
        <f>'2.고정구단가산출'!I24</f>
        <v>0</v>
      </c>
      <c r="F32" s="390">
        <f>'2.고정구단가산출'!V24</f>
        <v>0</v>
      </c>
      <c r="G32" s="391">
        <f t="shared" si="2"/>
        <v>0</v>
      </c>
      <c r="H32" s="400"/>
      <c r="I32" s="401" t="str">
        <f>'2.고정구단가산출'!P24</f>
        <v>차열재 없음</v>
      </c>
      <c r="K32" s="15"/>
      <c r="U32"/>
    </row>
    <row r="33" spans="1:21" ht="24" customHeight="1">
      <c r="A33" s="386">
        <f t="shared" si="0"/>
        <v>13</v>
      </c>
      <c r="B33" s="387">
        <f>'2.고정구단가산출'!F25</f>
        <v>0</v>
      </c>
      <c r="C33" s="388">
        <f>'2.고정구단가산출'!G25</f>
        <v>0</v>
      </c>
      <c r="D33" s="388">
        <f>'2.고정구단가산출'!H25</f>
        <v>0</v>
      </c>
      <c r="E33" s="389">
        <f>'2.고정구단가산출'!I25</f>
        <v>0</v>
      </c>
      <c r="F33" s="390">
        <f>'2.고정구단가산출'!V25</f>
        <v>0</v>
      </c>
      <c r="G33" s="391">
        <f t="shared" si="2"/>
        <v>0</v>
      </c>
      <c r="H33" s="400"/>
      <c r="I33" s="401" t="str">
        <f>'2.고정구단가산출'!P25</f>
        <v>차열재 없음</v>
      </c>
      <c r="K33" s="15"/>
      <c r="U33"/>
    </row>
    <row r="34" spans="1:21" ht="24" customHeight="1">
      <c r="A34" s="386">
        <f t="shared" si="0"/>
        <v>14</v>
      </c>
      <c r="B34" s="387">
        <f>'2.고정구단가산출'!F26</f>
        <v>0</v>
      </c>
      <c r="C34" s="388">
        <f>'2.고정구단가산출'!G26</f>
        <v>0</v>
      </c>
      <c r="D34" s="388">
        <f>'2.고정구단가산출'!H26</f>
        <v>0</v>
      </c>
      <c r="E34" s="389">
        <f>'2.고정구단가산출'!I26</f>
        <v>0</v>
      </c>
      <c r="F34" s="390">
        <f>'2.고정구단가산출'!V26</f>
        <v>0</v>
      </c>
      <c r="G34" s="391">
        <f t="shared" si="2"/>
        <v>0</v>
      </c>
      <c r="H34" s="400"/>
      <c r="I34" s="401" t="str">
        <f>'2.고정구단가산출'!P26</f>
        <v>차열재 없음</v>
      </c>
      <c r="K34" s="15"/>
      <c r="U34"/>
    </row>
    <row r="35" spans="1:21" ht="24" customHeight="1">
      <c r="A35" s="386">
        <f t="shared" si="0"/>
        <v>15</v>
      </c>
      <c r="B35" s="387">
        <f>'2.고정구단가산출'!F27</f>
        <v>0</v>
      </c>
      <c r="C35" s="388">
        <f>'2.고정구단가산출'!G27</f>
        <v>0</v>
      </c>
      <c r="D35" s="388">
        <f>'2.고정구단가산출'!H27</f>
        <v>0</v>
      </c>
      <c r="E35" s="389">
        <f>'2.고정구단가산출'!I27</f>
        <v>0</v>
      </c>
      <c r="F35" s="390">
        <f>'2.고정구단가산출'!V27</f>
        <v>0</v>
      </c>
      <c r="G35" s="391">
        <f t="shared" si="2"/>
        <v>0</v>
      </c>
      <c r="H35" s="400" t="str">
        <f>'2.고정구단가산출'!K27</f>
        <v>판매가 없음</v>
      </c>
      <c r="I35" s="401" t="str">
        <f>'2.고정구단가산출'!P27</f>
        <v>차열재 없음</v>
      </c>
      <c r="K35" s="15"/>
      <c r="U35"/>
    </row>
    <row r="36" spans="1:21" ht="24" customHeight="1">
      <c r="A36" s="386">
        <f t="shared" si="0"/>
        <v>16</v>
      </c>
      <c r="B36" s="387">
        <f>'2.고정구단가산출'!F28</f>
        <v>0</v>
      </c>
      <c r="C36" s="388">
        <f>'2.고정구단가산출'!G28</f>
        <v>0</v>
      </c>
      <c r="D36" s="388">
        <f>'2.고정구단가산출'!H28</f>
        <v>0</v>
      </c>
      <c r="E36" s="389">
        <f>'2.고정구단가산출'!I28</f>
        <v>0</v>
      </c>
      <c r="F36" s="390">
        <f>'2.고정구단가산출'!V28</f>
        <v>0</v>
      </c>
      <c r="G36" s="391">
        <f t="shared" si="2"/>
        <v>0</v>
      </c>
      <c r="H36" s="400" t="str">
        <f>'2.고정구단가산출'!K28</f>
        <v>판매가 없음</v>
      </c>
      <c r="I36" s="401" t="str">
        <f>'2.고정구단가산출'!P28</f>
        <v>차열재 없음</v>
      </c>
      <c r="K36" s="15"/>
      <c r="U36"/>
    </row>
    <row r="37" spans="1:21" ht="24" customHeight="1">
      <c r="A37" s="386">
        <f t="shared" si="0"/>
        <v>17</v>
      </c>
      <c r="B37" s="387">
        <f>'2.고정구단가산출'!F29</f>
        <v>0</v>
      </c>
      <c r="C37" s="388">
        <f>'2.고정구단가산출'!G29</f>
        <v>0</v>
      </c>
      <c r="D37" s="388">
        <f>'2.고정구단가산출'!H29</f>
        <v>0</v>
      </c>
      <c r="E37" s="389">
        <f>'2.고정구단가산출'!I29</f>
        <v>0</v>
      </c>
      <c r="F37" s="390">
        <f>'2.고정구단가산출'!V29</f>
        <v>0</v>
      </c>
      <c r="G37" s="391">
        <f t="shared" si="2"/>
        <v>0</v>
      </c>
      <c r="H37" s="400" t="str">
        <f>'2.고정구단가산출'!K29</f>
        <v>판매가 없음</v>
      </c>
      <c r="I37" s="401" t="str">
        <f>'2.고정구단가산출'!P29</f>
        <v>차열재 없음</v>
      </c>
      <c r="K37" s="15"/>
      <c r="U37"/>
    </row>
    <row r="38" spans="1:21" ht="24" customHeight="1">
      <c r="A38" s="386">
        <f t="shared" si="0"/>
        <v>18</v>
      </c>
      <c r="B38" s="387">
        <f>'2.고정구단가산출'!F30</f>
        <v>0</v>
      </c>
      <c r="C38" s="388">
        <f>'2.고정구단가산출'!G30</f>
        <v>0</v>
      </c>
      <c r="D38" s="388">
        <f>'2.고정구단가산출'!H30</f>
        <v>0</v>
      </c>
      <c r="E38" s="389">
        <f>'2.고정구단가산출'!I30</f>
        <v>0</v>
      </c>
      <c r="F38" s="390">
        <f>'2.고정구단가산출'!V30</f>
        <v>0</v>
      </c>
      <c r="G38" s="391">
        <f t="shared" si="2"/>
        <v>0</v>
      </c>
      <c r="H38" s="400" t="str">
        <f>'2.고정구단가산출'!K30</f>
        <v>판매가 없음</v>
      </c>
      <c r="I38" s="401" t="str">
        <f>'2.고정구단가산출'!P30</f>
        <v>차열재 없음</v>
      </c>
      <c r="K38" s="15"/>
      <c r="U38"/>
    </row>
    <row r="39" spans="1:21" ht="24" customHeight="1">
      <c r="A39" s="386">
        <f t="shared" si="0"/>
        <v>19</v>
      </c>
      <c r="B39" s="387">
        <f>'2.고정구단가산출'!F31</f>
        <v>0</v>
      </c>
      <c r="C39" s="388">
        <f>'2.고정구단가산출'!G31</f>
        <v>0</v>
      </c>
      <c r="D39" s="388">
        <f>'2.고정구단가산출'!H31</f>
        <v>0</v>
      </c>
      <c r="E39" s="389">
        <f>'2.고정구단가산출'!I31</f>
        <v>0</v>
      </c>
      <c r="F39" s="390">
        <f>'2.고정구단가산출'!V31</f>
        <v>0</v>
      </c>
      <c r="G39" s="391">
        <f t="shared" si="2"/>
        <v>0</v>
      </c>
      <c r="H39" s="400" t="str">
        <f>'2.고정구단가산출'!K31</f>
        <v>판매가 없음</v>
      </c>
      <c r="I39" s="401" t="str">
        <f>'2.고정구단가산출'!P31</f>
        <v>차열재 없음</v>
      </c>
      <c r="K39" s="15"/>
      <c r="U39"/>
    </row>
    <row r="40" spans="1:21" ht="24" customHeight="1">
      <c r="A40" s="386">
        <f t="shared" si="0"/>
        <v>20</v>
      </c>
      <c r="B40" s="387">
        <f>'2.고정구단가산출'!F32</f>
        <v>0</v>
      </c>
      <c r="C40" s="388">
        <f>'2.고정구단가산출'!G32</f>
        <v>0</v>
      </c>
      <c r="D40" s="388">
        <f>'2.고정구단가산출'!H32</f>
        <v>0</v>
      </c>
      <c r="E40" s="389">
        <f>'2.고정구단가산출'!I32</f>
        <v>0</v>
      </c>
      <c r="F40" s="390">
        <f>'2.고정구단가산출'!V32</f>
        <v>0</v>
      </c>
      <c r="G40" s="391">
        <f t="shared" si="2"/>
        <v>0</v>
      </c>
      <c r="H40" s="400"/>
      <c r="I40" s="401"/>
      <c r="K40" s="15"/>
      <c r="U40"/>
    </row>
    <row r="41" spans="1:21" ht="24" customHeight="1">
      <c r="A41" s="386">
        <f t="shared" si="0"/>
        <v>21</v>
      </c>
      <c r="B41" s="387">
        <f>'2.고정구단가산출'!F33</f>
        <v>0</v>
      </c>
      <c r="C41" s="388">
        <f>'2.고정구단가산출'!G33</f>
        <v>0</v>
      </c>
      <c r="D41" s="388">
        <f>'2.고정구단가산출'!H33</f>
        <v>0</v>
      </c>
      <c r="E41" s="389">
        <f>'2.고정구단가산출'!I33</f>
        <v>0</v>
      </c>
      <c r="F41" s="390">
        <f>'2.고정구단가산출'!V33</f>
        <v>0</v>
      </c>
      <c r="G41" s="391">
        <f t="shared" si="2"/>
        <v>0</v>
      </c>
      <c r="H41" s="400"/>
      <c r="I41" s="401"/>
      <c r="K41" s="15"/>
      <c r="U41"/>
    </row>
    <row r="42" spans="1:21" ht="24" customHeight="1">
      <c r="A42" s="386">
        <f t="shared" si="0"/>
        <v>22</v>
      </c>
      <c r="B42" s="387">
        <f>'2.고정구단가산출'!F34</f>
        <v>0</v>
      </c>
      <c r="C42" s="388">
        <f>'2.고정구단가산출'!G34</f>
        <v>0</v>
      </c>
      <c r="D42" s="388">
        <f>'2.고정구단가산출'!H34</f>
        <v>0</v>
      </c>
      <c r="E42" s="389">
        <f>'2.고정구단가산출'!I34</f>
        <v>0</v>
      </c>
      <c r="F42" s="390">
        <f>'2.고정구단가산출'!V34</f>
        <v>0</v>
      </c>
      <c r="G42" s="391">
        <f t="shared" si="2"/>
        <v>0</v>
      </c>
      <c r="H42" s="400"/>
      <c r="I42" s="401"/>
      <c r="K42" s="15"/>
      <c r="U42"/>
    </row>
    <row r="43" spans="1:21" ht="24" customHeight="1">
      <c r="A43" s="386">
        <f t="shared" si="0"/>
        <v>23</v>
      </c>
      <c r="B43" s="387">
        <f>'2.고정구단가산출'!F35</f>
        <v>0</v>
      </c>
      <c r="C43" s="388">
        <f>'2.고정구단가산출'!G35</f>
        <v>0</v>
      </c>
      <c r="D43" s="388">
        <f>'2.고정구단가산출'!H35</f>
        <v>0</v>
      </c>
      <c r="E43" s="389">
        <f>'2.고정구단가산출'!I35</f>
        <v>0</v>
      </c>
      <c r="F43" s="390">
        <f>'2.고정구단가산출'!V35</f>
        <v>0</v>
      </c>
      <c r="G43" s="391">
        <f t="shared" si="2"/>
        <v>0</v>
      </c>
      <c r="H43" s="400"/>
      <c r="I43" s="401"/>
      <c r="K43" s="15"/>
      <c r="U43"/>
    </row>
    <row r="44" spans="1:21" ht="24" customHeight="1">
      <c r="A44" s="386">
        <f t="shared" si="0"/>
        <v>24</v>
      </c>
      <c r="B44" s="387">
        <f>'2.고정구단가산출'!F36</f>
        <v>0</v>
      </c>
      <c r="C44" s="388">
        <f>'2.고정구단가산출'!G36</f>
        <v>0</v>
      </c>
      <c r="D44" s="388">
        <f>'2.고정구단가산출'!H36</f>
        <v>0</v>
      </c>
      <c r="E44" s="389">
        <f>'2.고정구단가산출'!I36</f>
        <v>0</v>
      </c>
      <c r="F44" s="390">
        <f>'2.고정구단가산출'!V36</f>
        <v>0</v>
      </c>
      <c r="G44" s="391">
        <f t="shared" si="2"/>
        <v>0</v>
      </c>
      <c r="H44" s="400"/>
      <c r="I44" s="401"/>
      <c r="K44" s="15"/>
      <c r="U44"/>
    </row>
    <row r="45" spans="1:21" ht="24" customHeight="1">
      <c r="A45" s="386">
        <f t="shared" si="0"/>
        <v>25</v>
      </c>
      <c r="B45" s="387">
        <f>'2.고정구단가산출'!F37</f>
        <v>0</v>
      </c>
      <c r="C45" s="388">
        <f>'2.고정구단가산출'!G37</f>
        <v>0</v>
      </c>
      <c r="D45" s="388">
        <f>'2.고정구단가산출'!H37</f>
        <v>0</v>
      </c>
      <c r="E45" s="389">
        <f>'2.고정구단가산출'!I37</f>
        <v>0</v>
      </c>
      <c r="F45" s="390">
        <f>'2.고정구단가산출'!V37</f>
        <v>0</v>
      </c>
      <c r="G45" s="391">
        <f t="shared" si="2"/>
        <v>0</v>
      </c>
      <c r="H45" s="400"/>
      <c r="I45" s="401"/>
      <c r="K45" s="15"/>
      <c r="U45"/>
    </row>
    <row r="46" spans="1:21" ht="24" customHeight="1">
      <c r="A46" s="386">
        <f t="shared" si="0"/>
        <v>26</v>
      </c>
      <c r="B46" s="387">
        <f>'2.고정구단가산출'!F38</f>
        <v>0</v>
      </c>
      <c r="C46" s="388">
        <f>'2.고정구단가산출'!G38</f>
        <v>0</v>
      </c>
      <c r="D46" s="388">
        <f>'2.고정구단가산출'!H38</f>
        <v>0</v>
      </c>
      <c r="E46" s="389">
        <f>'2.고정구단가산출'!I38</f>
        <v>0</v>
      </c>
      <c r="F46" s="390">
        <f>'2.고정구단가산출'!V38</f>
        <v>0</v>
      </c>
      <c r="G46" s="391">
        <f t="shared" si="2"/>
        <v>0</v>
      </c>
      <c r="H46" s="400" t="str">
        <f>'2.고정구단가산출'!K38</f>
        <v>판매가 없음</v>
      </c>
      <c r="I46" s="401"/>
      <c r="K46" s="15"/>
      <c r="U46"/>
    </row>
    <row r="47" spans="1:21" ht="24" customHeight="1">
      <c r="A47" s="386">
        <f t="shared" si="0"/>
        <v>27</v>
      </c>
      <c r="B47" s="387">
        <f>'2.고정구단가산출'!F39</f>
        <v>0</v>
      </c>
      <c r="C47" s="388">
        <f>'2.고정구단가산출'!G39</f>
        <v>0</v>
      </c>
      <c r="D47" s="388">
        <f>'2.고정구단가산출'!H39</f>
        <v>0</v>
      </c>
      <c r="E47" s="389">
        <f>'2.고정구단가산출'!I39</f>
        <v>0</v>
      </c>
      <c r="F47" s="390">
        <f>'2.고정구단가산출'!V39</f>
        <v>0</v>
      </c>
      <c r="G47" s="391">
        <f t="shared" si="2"/>
        <v>0</v>
      </c>
      <c r="H47" s="400"/>
      <c r="I47" s="401" t="str">
        <f>'2.고정구단가산출'!P39</f>
        <v>차열재 없음</v>
      </c>
      <c r="K47" s="15"/>
      <c r="U47"/>
    </row>
    <row r="48" spans="1:21" ht="24" customHeight="1">
      <c r="A48" s="386">
        <f t="shared" si="0"/>
        <v>28</v>
      </c>
      <c r="B48" s="387">
        <f>'2.고정구단가산출'!F40</f>
        <v>0</v>
      </c>
      <c r="C48" s="388">
        <f>'2.고정구단가산출'!G40</f>
        <v>0</v>
      </c>
      <c r="D48" s="388">
        <f>'2.고정구단가산출'!H40</f>
        <v>0</v>
      </c>
      <c r="E48" s="389">
        <f>'2.고정구단가산출'!I40</f>
        <v>0</v>
      </c>
      <c r="F48" s="390">
        <f>'2.고정구단가산출'!V40</f>
        <v>0</v>
      </c>
      <c r="G48" s="391">
        <f t="shared" si="2"/>
        <v>0</v>
      </c>
      <c r="H48" s="400" t="str">
        <f>'2.고정구단가산출'!K40</f>
        <v>판매가 없음</v>
      </c>
      <c r="I48" s="401"/>
      <c r="K48" s="15"/>
      <c r="U48"/>
    </row>
    <row r="49" spans="1:21" ht="24" customHeight="1">
      <c r="A49" s="386">
        <f t="shared" si="0"/>
        <v>29</v>
      </c>
      <c r="B49" s="387">
        <f>'2.고정구단가산출'!F41</f>
        <v>0</v>
      </c>
      <c r="C49" s="388">
        <f>'2.고정구단가산출'!G41</f>
        <v>0</v>
      </c>
      <c r="D49" s="388">
        <f>'2.고정구단가산출'!H41</f>
        <v>0</v>
      </c>
      <c r="E49" s="389">
        <f>'2.고정구단가산출'!I41</f>
        <v>0</v>
      </c>
      <c r="F49" s="390">
        <f>'2.고정구단가산출'!V41</f>
        <v>0</v>
      </c>
      <c r="G49" s="391">
        <f t="shared" si="2"/>
        <v>0</v>
      </c>
      <c r="H49" s="400" t="str">
        <f>'2.고정구단가산출'!K41</f>
        <v>판매가 없음</v>
      </c>
      <c r="I49" s="401"/>
      <c r="K49" s="15"/>
      <c r="U49"/>
    </row>
    <row r="50" spans="1:21" ht="24" customHeight="1">
      <c r="A50" s="386" t="e">
        <f>#REF!+1</f>
        <v>#REF!</v>
      </c>
      <c r="B50" s="387"/>
      <c r="C50" s="388"/>
      <c r="D50" s="388"/>
      <c r="E50" s="389"/>
      <c r="F50" s="390"/>
      <c r="G50" s="391"/>
      <c r="H50" s="400"/>
      <c r="I50" s="402"/>
      <c r="K50" s="15"/>
      <c r="U50"/>
    </row>
    <row r="51" spans="1:21" ht="24" customHeight="1">
      <c r="A51" s="386" t="e">
        <f t="shared" si="0"/>
        <v>#REF!</v>
      </c>
      <c r="B51" s="387"/>
      <c r="C51" s="388"/>
      <c r="D51" s="388"/>
      <c r="E51" s="389"/>
      <c r="F51" s="390"/>
      <c r="G51" s="391"/>
      <c r="H51" s="400"/>
      <c r="I51" s="401"/>
      <c r="K51" s="15"/>
      <c r="U51"/>
    </row>
    <row r="52" spans="1:21" ht="24" customHeight="1">
      <c r="A52" s="386" t="e">
        <f t="shared" si="0"/>
        <v>#REF!</v>
      </c>
      <c r="B52" s="388" t="s">
        <v>36</v>
      </c>
      <c r="C52" s="388"/>
      <c r="D52" s="388"/>
      <c r="E52" s="389">
        <v>1</v>
      </c>
      <c r="F52" s="390"/>
      <c r="G52" s="391">
        <f>E52*F52</f>
        <v>0</v>
      </c>
      <c r="H52" s="400"/>
      <c r="I52" s="401"/>
      <c r="K52" s="15"/>
      <c r="U52"/>
    </row>
    <row r="53" spans="1:21" ht="24" customHeight="1">
      <c r="A53" s="386" t="e">
        <f t="shared" si="0"/>
        <v>#REF!</v>
      </c>
      <c r="B53" s="388" t="s">
        <v>18</v>
      </c>
      <c r="C53" s="392"/>
      <c r="D53" s="392"/>
      <c r="E53" s="389"/>
      <c r="F53" s="393"/>
      <c r="G53" s="394">
        <f>SUM(G21:G52)</f>
        <v>13620</v>
      </c>
      <c r="H53" s="400"/>
      <c r="I53" s="401"/>
      <c r="K53" s="15"/>
      <c r="U53"/>
    </row>
    <row r="54" spans="1:21" ht="24" customHeight="1">
      <c r="A54" s="764" t="s">
        <v>9</v>
      </c>
      <c r="B54" s="764"/>
      <c r="C54" s="764"/>
      <c r="D54" s="764"/>
      <c r="E54" s="764"/>
      <c r="F54" s="764"/>
      <c r="G54" s="764"/>
      <c r="H54" s="764"/>
      <c r="I54" s="403"/>
      <c r="K54" s="15"/>
      <c r="U54"/>
    </row>
    <row r="55" spans="1:21" ht="24" customHeight="1">
      <c r="A55" s="762" t="s">
        <v>72</v>
      </c>
      <c r="B55" s="762"/>
      <c r="C55" s="762"/>
      <c r="D55" s="762"/>
      <c r="E55" s="762"/>
      <c r="F55" s="762"/>
      <c r="G55" s="762"/>
      <c r="H55" s="762"/>
      <c r="I55" s="401"/>
      <c r="K55" s="15"/>
      <c r="U55"/>
    </row>
    <row r="56" spans="1:21" ht="25.15" customHeight="1">
      <c r="A56" s="762" t="s">
        <v>285</v>
      </c>
      <c r="B56" s="762"/>
      <c r="C56" s="762"/>
      <c r="D56" s="762"/>
      <c r="E56" s="762"/>
      <c r="F56" s="762"/>
      <c r="G56" s="762"/>
      <c r="H56" s="762"/>
      <c r="I56" s="401"/>
      <c r="K56" s="15"/>
      <c r="U56"/>
    </row>
    <row r="57" spans="1:21" ht="25.15" customHeight="1">
      <c r="A57" s="763" t="s">
        <v>286</v>
      </c>
      <c r="B57" s="763"/>
      <c r="C57" s="763"/>
      <c r="D57" s="763"/>
      <c r="E57" s="763"/>
      <c r="F57" s="763"/>
      <c r="G57" s="763"/>
      <c r="H57" s="763"/>
      <c r="I57" s="401"/>
      <c r="K57" s="15"/>
      <c r="U57"/>
    </row>
    <row r="58" spans="1:21" ht="25.15" customHeight="1">
      <c r="A58" s="763" t="s">
        <v>287</v>
      </c>
      <c r="B58" s="763"/>
      <c r="C58" s="763"/>
      <c r="D58" s="763"/>
      <c r="E58" s="763"/>
      <c r="F58" s="763"/>
      <c r="G58" s="763"/>
      <c r="H58" s="763"/>
      <c r="I58" s="404"/>
      <c r="K58" s="15"/>
      <c r="U58"/>
    </row>
    <row r="59" spans="1:21" ht="25.15" customHeight="1">
      <c r="A59" s="764" t="s">
        <v>288</v>
      </c>
      <c r="B59" s="764"/>
      <c r="C59" s="764"/>
      <c r="D59" s="764"/>
      <c r="E59" s="764"/>
      <c r="F59" s="764"/>
      <c r="G59" s="764"/>
      <c r="H59" s="764"/>
      <c r="I59" s="404"/>
      <c r="K59" s="15"/>
      <c r="U59"/>
    </row>
    <row r="60" spans="1:21" ht="25.15" customHeight="1">
      <c r="K60" s="15"/>
      <c r="U60"/>
    </row>
  </sheetData>
  <mergeCells count="16">
    <mergeCell ref="L9:L10"/>
    <mergeCell ref="M9:M10"/>
    <mergeCell ref="P9:P10"/>
    <mergeCell ref="A55:H55"/>
    <mergeCell ref="A2:I2"/>
    <mergeCell ref="A4:I4"/>
    <mergeCell ref="A5:I5"/>
    <mergeCell ref="A6:I6"/>
    <mergeCell ref="A7:I7"/>
    <mergeCell ref="A56:H56"/>
    <mergeCell ref="A57:H57"/>
    <mergeCell ref="A58:H58"/>
    <mergeCell ref="A59:H59"/>
    <mergeCell ref="A8:H8"/>
    <mergeCell ref="A9:H9"/>
    <mergeCell ref="A54:H54"/>
  </mergeCells>
  <phoneticPr fontId="2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58" fitToHeight="0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8BAAD-C3E9-4285-9AA3-A7110FD4E2C2}">
  <sheetPr codeName="Sheet6">
    <tabColor theme="9" tint="0.39997558519241921"/>
    <pageSetUpPr fitToPage="1"/>
  </sheetPr>
  <dimension ref="A1:P26"/>
  <sheetViews>
    <sheetView zoomScale="85" zoomScaleNormal="85" workbookViewId="0">
      <selection activeCell="L23" sqref="L23"/>
    </sheetView>
  </sheetViews>
  <sheetFormatPr defaultRowHeight="16.5"/>
  <cols>
    <col min="1" max="1" width="5.125" bestFit="1" customWidth="1"/>
    <col min="2" max="2" width="32.625" bestFit="1" customWidth="1"/>
    <col min="3" max="3" width="19.125" bestFit="1" customWidth="1"/>
    <col min="4" max="4" width="5.125" bestFit="1" customWidth="1"/>
    <col min="5" max="5" width="7.875" style="22" bestFit="1" customWidth="1"/>
    <col min="6" max="6" width="10.875" style="22" bestFit="1" customWidth="1"/>
    <col min="7" max="7" width="11.625" style="28" customWidth="1"/>
    <col min="8" max="8" width="14.875" style="28" bestFit="1" customWidth="1"/>
    <col min="9" max="9" width="22.125" bestFit="1" customWidth="1"/>
    <col min="10" max="10" width="11" customWidth="1"/>
    <col min="11" max="11" width="10.875" bestFit="1" customWidth="1"/>
    <col min="12" max="12" width="32.125" bestFit="1" customWidth="1"/>
    <col min="14" max="14" width="41.25" bestFit="1" customWidth="1"/>
  </cols>
  <sheetData>
    <row r="1" spans="1:16" ht="25.35" customHeight="1">
      <c r="A1" s="607"/>
      <c r="B1" s="607"/>
      <c r="C1" s="607"/>
      <c r="D1" s="607"/>
      <c r="E1" s="607"/>
      <c r="F1" s="607"/>
      <c r="G1" s="607"/>
      <c r="H1" s="607"/>
      <c r="I1" s="607"/>
    </row>
    <row r="2" spans="1:16" ht="25.35" customHeight="1">
      <c r="A2" s="780" t="s">
        <v>20</v>
      </c>
      <c r="B2" s="781"/>
      <c r="C2" s="781"/>
      <c r="D2" s="781"/>
      <c r="E2" s="781"/>
      <c r="F2" s="781"/>
      <c r="G2" s="781"/>
      <c r="H2" s="781"/>
      <c r="I2" s="781"/>
    </row>
    <row r="3" spans="1:16" ht="25.35" customHeight="1">
      <c r="A3" s="782"/>
      <c r="B3" s="782"/>
      <c r="C3" s="782"/>
      <c r="D3" s="782"/>
      <c r="E3" s="782"/>
      <c r="F3" s="782"/>
      <c r="G3" s="782"/>
      <c r="H3" s="782"/>
      <c r="I3" s="782"/>
    </row>
    <row r="4" spans="1:16" ht="25.35" customHeight="1">
      <c r="A4" s="783" t="s">
        <v>29</v>
      </c>
      <c r="B4" s="783"/>
      <c r="C4" s="783"/>
      <c r="D4" s="783"/>
      <c r="E4" s="783"/>
      <c r="F4" s="783"/>
      <c r="G4" s="783"/>
      <c r="H4" s="783"/>
      <c r="I4" s="783"/>
    </row>
    <row r="5" spans="1:16" ht="25.35" customHeight="1">
      <c r="A5" s="772" t="s">
        <v>54</v>
      </c>
      <c r="B5" s="780"/>
      <c r="C5" s="780"/>
      <c r="D5" s="780"/>
      <c r="E5" s="780"/>
      <c r="F5" s="780"/>
      <c r="G5" s="780"/>
      <c r="H5" s="780"/>
      <c r="I5" s="780"/>
    </row>
    <row r="6" spans="1:16" ht="25.35" customHeight="1">
      <c r="A6" s="773"/>
      <c r="B6" s="773"/>
      <c r="C6" s="773"/>
      <c r="D6" s="773"/>
      <c r="E6" s="773"/>
      <c r="F6" s="773"/>
      <c r="G6" s="773"/>
      <c r="H6" s="773"/>
      <c r="I6" s="773"/>
    </row>
    <row r="7" spans="1:16" ht="2.25" customHeight="1">
      <c r="A7" s="787"/>
      <c r="B7" s="787"/>
      <c r="C7" s="787"/>
      <c r="D7" s="787"/>
      <c r="E7" s="787"/>
      <c r="F7" s="787"/>
      <c r="G7" s="787"/>
      <c r="H7" s="787"/>
      <c r="I7" s="787"/>
    </row>
    <row r="8" spans="1:16">
      <c r="A8" s="607"/>
      <c r="B8" s="607"/>
      <c r="C8" s="607"/>
      <c r="D8" s="607"/>
      <c r="E8" s="607"/>
      <c r="F8" s="607"/>
      <c r="G8" s="607"/>
      <c r="H8" s="607"/>
      <c r="I8" s="607"/>
    </row>
    <row r="9" spans="1:16" ht="19.350000000000001" customHeight="1">
      <c r="A9" s="13"/>
      <c r="B9" s="13"/>
      <c r="C9" s="13"/>
      <c r="G9" s="269"/>
      <c r="H9" s="269"/>
      <c r="I9" s="269"/>
    </row>
    <row r="10" spans="1:16" ht="17.45" customHeight="1">
      <c r="A10" s="13"/>
      <c r="B10" s="13"/>
      <c r="C10" s="13"/>
      <c r="D10" s="1"/>
      <c r="G10" s="269"/>
      <c r="H10" s="269"/>
      <c r="I10" s="269"/>
    </row>
    <row r="11" spans="1:16" ht="19.149999999999999" customHeight="1">
      <c r="A11" s="10"/>
      <c r="B11" s="10"/>
      <c r="C11" s="6"/>
      <c r="G11" s="27"/>
      <c r="H11" s="27"/>
      <c r="I11" s="26"/>
      <c r="K11" s="778" t="str">
        <f>'1.발주접수'!$C$5</f>
        <v>예시용</v>
      </c>
      <c r="L11" s="779" t="s">
        <v>21</v>
      </c>
      <c r="N11" s="767" t="s">
        <v>22</v>
      </c>
      <c r="O11" s="269"/>
      <c r="P11" s="269"/>
    </row>
    <row r="12" spans="1:16" ht="19.149999999999999" customHeight="1">
      <c r="A12" s="10"/>
      <c r="B12" s="10"/>
      <c r="C12" s="8"/>
      <c r="G12" s="27"/>
      <c r="H12" s="27"/>
      <c r="I12" s="26"/>
      <c r="K12" s="778"/>
      <c r="L12" s="779"/>
      <c r="N12" s="767"/>
      <c r="O12" s="269"/>
      <c r="P12" s="269"/>
    </row>
    <row r="13" spans="1:16" ht="19.149999999999999" customHeight="1">
      <c r="A13" s="10"/>
      <c r="B13" s="10"/>
      <c r="C13" s="9"/>
      <c r="G13" s="27"/>
      <c r="H13" s="27"/>
      <c r="I13" s="26"/>
      <c r="K13" s="270" t="s">
        <v>31</v>
      </c>
      <c r="L13" s="271" t="str">
        <f>TEXT(L14,"yyyy-mm-dd")</f>
        <v>2026-02-19</v>
      </c>
      <c r="N13" s="274" t="s">
        <v>30</v>
      </c>
      <c r="O13" s="27"/>
      <c r="P13" s="26"/>
    </row>
    <row r="14" spans="1:16" ht="19.149999999999999" customHeight="1">
      <c r="H14" s="29"/>
      <c r="I14" s="7"/>
      <c r="K14" s="270" t="s">
        <v>32</v>
      </c>
      <c r="L14" s="272">
        <f>'1.발주접수'!$C$7</f>
        <v>46072</v>
      </c>
      <c r="N14" s="274" t="s">
        <v>24</v>
      </c>
      <c r="O14" s="27"/>
      <c r="P14" s="26"/>
    </row>
    <row r="15" spans="1:16">
      <c r="A15" s="23"/>
      <c r="B15" s="23"/>
      <c r="C15" s="23"/>
      <c r="D15" s="23"/>
      <c r="E15" s="23"/>
      <c r="F15" s="23"/>
      <c r="G15" s="30"/>
      <c r="H15" s="29"/>
      <c r="I15" s="7"/>
      <c r="K15" s="270" t="s">
        <v>33</v>
      </c>
      <c r="L15" s="273" t="str">
        <f>'1.발주접수'!$C$8</f>
        <v>현장명 예시</v>
      </c>
      <c r="N15" s="274" t="s">
        <v>25</v>
      </c>
      <c r="O15" s="27"/>
      <c r="P15" s="26"/>
    </row>
    <row r="16" spans="1:16">
      <c r="A16" s="23"/>
      <c r="B16" s="23"/>
      <c r="C16" s="23"/>
      <c r="D16" s="23"/>
      <c r="E16" s="23"/>
      <c r="F16" s="23"/>
      <c r="G16" s="30"/>
      <c r="H16" s="29"/>
      <c r="I16" s="11"/>
    </row>
    <row r="17" spans="1:10">
      <c r="A17" s="786" t="s">
        <v>26</v>
      </c>
      <c r="B17" s="786"/>
      <c r="C17" s="784" t="str">
        <f>"一金"&amp;NUMBERSTRING('3.견적서'!G53,1)&amp;"원정"</f>
        <v>一金일만삼천육백이십원정</v>
      </c>
      <c r="D17" s="784"/>
      <c r="E17" s="784"/>
      <c r="F17" s="784"/>
      <c r="G17" s="784"/>
      <c r="H17" s="785" t="s">
        <v>27</v>
      </c>
      <c r="I17" s="785"/>
    </row>
    <row r="18" spans="1:10">
      <c r="A18" s="21" t="str">
        <f>'3.견적서'!A20</f>
        <v>번호</v>
      </c>
      <c r="B18" s="21" t="str">
        <f>'3.견적서'!B20</f>
        <v>품         목</v>
      </c>
      <c r="C18" s="21" t="str">
        <f>'3.견적서'!C20</f>
        <v>규격
(배관 * 슬리브)</v>
      </c>
      <c r="D18" s="21" t="str">
        <f>'3.견적서'!D20</f>
        <v>단위</v>
      </c>
      <c r="E18" s="21" t="str">
        <f>'3.견적서'!E20</f>
        <v>수량</v>
      </c>
      <c r="F18" s="21" t="str">
        <f>'3.견적서'!F20</f>
        <v>단가</v>
      </c>
      <c r="G18" s="31" t="str">
        <f>'3.견적서'!G20</f>
        <v>금액</v>
      </c>
      <c r="H18" s="776" t="str">
        <f>'3.견적서'!H20</f>
        <v>비고</v>
      </c>
      <c r="I18" s="777"/>
    </row>
    <row r="19" spans="1:10" ht="16.5" customHeight="1">
      <c r="A19" s="19">
        <v>1</v>
      </c>
      <c r="B19" s="20" t="str">
        <f>'3.견적서'!B21</f>
        <v>내화채움구조(벽체,강관용)</v>
      </c>
      <c r="C19" s="20" t="str">
        <f>'3.견적서'!C21</f>
        <v>15*25</v>
      </c>
      <c r="D19" s="20" t="str">
        <f>'3.견적서'!D21</f>
        <v>개소</v>
      </c>
      <c r="E19" s="20">
        <f>'3.견적서'!E21</f>
        <v>3</v>
      </c>
      <c r="F19" s="84">
        <f>'3.견적서'!F21</f>
        <v>4540</v>
      </c>
      <c r="G19" s="32">
        <f>'3.견적서'!G21</f>
        <v>13620</v>
      </c>
      <c r="H19" s="774"/>
      <c r="I19" s="775"/>
    </row>
    <row r="20" spans="1:10" ht="16.5" customHeight="1">
      <c r="A20" s="19">
        <f t="shared" ref="A20:A26" si="0">A19+1</f>
        <v>2</v>
      </c>
      <c r="B20" s="20">
        <f>'3.견적서'!B22</f>
        <v>0</v>
      </c>
      <c r="C20" s="20">
        <f>'3.견적서'!C22</f>
        <v>0</v>
      </c>
      <c r="D20" s="20">
        <f>'3.견적서'!D22</f>
        <v>0</v>
      </c>
      <c r="E20" s="20">
        <f>'3.견적서'!E22</f>
        <v>0</v>
      </c>
      <c r="F20" s="84">
        <f>'3.견적서'!F22</f>
        <v>0</v>
      </c>
      <c r="G20" s="32">
        <f>'3.견적서'!G22</f>
        <v>0</v>
      </c>
      <c r="H20" s="774"/>
      <c r="I20" s="775"/>
    </row>
    <row r="21" spans="1:10" ht="17.45" customHeight="1">
      <c r="A21" s="19">
        <f t="shared" si="0"/>
        <v>3</v>
      </c>
      <c r="B21" s="20">
        <f>'3.견적서'!B23</f>
        <v>0</v>
      </c>
      <c r="C21" s="20">
        <f>'3.견적서'!C23</f>
        <v>0</v>
      </c>
      <c r="D21" s="20">
        <f>'3.견적서'!D23</f>
        <v>0</v>
      </c>
      <c r="E21" s="20">
        <f>'3.견적서'!E23</f>
        <v>0</v>
      </c>
      <c r="F21" s="84">
        <f>'3.견적서'!F23</f>
        <v>0</v>
      </c>
      <c r="G21" s="32">
        <f>'3.견적서'!G23</f>
        <v>0</v>
      </c>
      <c r="H21" s="774"/>
      <c r="I21" s="775"/>
      <c r="J21" t="s">
        <v>34</v>
      </c>
    </row>
    <row r="22" spans="1:10" ht="17.45" customHeight="1">
      <c r="A22" s="19">
        <f t="shared" si="0"/>
        <v>4</v>
      </c>
      <c r="B22" s="20">
        <f>'3.견적서'!B24</f>
        <v>0</v>
      </c>
      <c r="C22" s="20">
        <f>'3.견적서'!C24</f>
        <v>0</v>
      </c>
      <c r="D22" s="20">
        <f>'3.견적서'!D24</f>
        <v>0</v>
      </c>
      <c r="E22" s="20">
        <f>'3.견적서'!E24</f>
        <v>0</v>
      </c>
      <c r="F22" s="84">
        <f>'3.견적서'!F24</f>
        <v>0</v>
      </c>
      <c r="G22" s="32">
        <f>'3.견적서'!G24</f>
        <v>0</v>
      </c>
      <c r="H22" s="774"/>
      <c r="I22" s="775"/>
    </row>
    <row r="23" spans="1:10" ht="17.45" customHeight="1">
      <c r="A23" s="19">
        <f t="shared" si="0"/>
        <v>5</v>
      </c>
      <c r="B23" s="20">
        <f>'3.견적서'!B25</f>
        <v>0</v>
      </c>
      <c r="C23" s="20">
        <f>'3.견적서'!C25</f>
        <v>0</v>
      </c>
      <c r="D23" s="20">
        <f>'3.견적서'!D25</f>
        <v>0</v>
      </c>
      <c r="E23" s="20">
        <f>'3.견적서'!E25</f>
        <v>0</v>
      </c>
      <c r="F23" s="84">
        <f>'3.견적서'!F25</f>
        <v>0</v>
      </c>
      <c r="G23" s="32">
        <f>'3.견적서'!G25</f>
        <v>0</v>
      </c>
      <c r="H23" s="774"/>
      <c r="I23" s="775"/>
    </row>
    <row r="24" spans="1:10" ht="17.45" customHeight="1">
      <c r="A24" s="19">
        <f t="shared" si="0"/>
        <v>6</v>
      </c>
      <c r="B24" s="20"/>
      <c r="C24" s="20"/>
      <c r="D24" s="20"/>
      <c r="E24" s="20"/>
      <c r="F24" s="84"/>
      <c r="G24" s="32"/>
      <c r="H24" s="260"/>
      <c r="I24" s="261"/>
    </row>
    <row r="25" spans="1:10">
      <c r="A25" s="19">
        <f t="shared" si="0"/>
        <v>7</v>
      </c>
      <c r="B25" s="20" t="str">
        <f>'3.견적서'!B52</f>
        <v>운임비</v>
      </c>
      <c r="C25" s="20">
        <f>'3.견적서'!C52</f>
        <v>0</v>
      </c>
      <c r="D25" s="20">
        <f>'3.견적서'!D52</f>
        <v>0</v>
      </c>
      <c r="E25" s="20">
        <f>'3.견적서'!E52</f>
        <v>1</v>
      </c>
      <c r="F25" s="84">
        <f>'3.견적서'!F52</f>
        <v>0</v>
      </c>
      <c r="G25" s="32">
        <f>'3.견적서'!G52</f>
        <v>0</v>
      </c>
      <c r="H25" s="260"/>
      <c r="I25" s="261"/>
    </row>
    <row r="26" spans="1:10">
      <c r="A26" s="19">
        <f t="shared" si="0"/>
        <v>8</v>
      </c>
      <c r="B26" s="20" t="str">
        <f>'3.견적서'!B53</f>
        <v>계</v>
      </c>
      <c r="C26" s="20">
        <f>'3.견적서'!C53</f>
        <v>0</v>
      </c>
      <c r="D26" s="20">
        <f>'3.견적서'!D53</f>
        <v>0</v>
      </c>
      <c r="E26" s="20">
        <f>'3.견적서'!E53</f>
        <v>0</v>
      </c>
      <c r="F26" s="84">
        <f>'3.견적서'!F53</f>
        <v>0</v>
      </c>
      <c r="G26" s="32">
        <f>'3.견적서'!G53</f>
        <v>13620</v>
      </c>
      <c r="H26" s="260"/>
      <c r="I26" s="261"/>
    </row>
  </sheetData>
  <mergeCells count="20">
    <mergeCell ref="C17:G17"/>
    <mergeCell ref="H17:I17"/>
    <mergeCell ref="A17:B17"/>
    <mergeCell ref="A6:I6"/>
    <mergeCell ref="A7:I7"/>
    <mergeCell ref="A8:I8"/>
    <mergeCell ref="A1:I1"/>
    <mergeCell ref="A2:I2"/>
    <mergeCell ref="A3:I3"/>
    <mergeCell ref="A4:I4"/>
    <mergeCell ref="A5:I5"/>
    <mergeCell ref="H21:I21"/>
    <mergeCell ref="H22:I22"/>
    <mergeCell ref="H23:I23"/>
    <mergeCell ref="H18:I18"/>
    <mergeCell ref="N11:N12"/>
    <mergeCell ref="K11:K12"/>
    <mergeCell ref="L11:L12"/>
    <mergeCell ref="H19:I19"/>
    <mergeCell ref="H20:I20"/>
  </mergeCells>
  <phoneticPr fontId="2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62" fitToHeight="0" orientation="portrait" r:id="rId1"/>
  <headerFooter>
    <oddFooter>&amp;L&amp;A</oddFooter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331DB-13A5-452D-ABD5-F59DD632A865}">
  <sheetPr codeName="Sheet7">
    <tabColor rgb="FFFFFF00"/>
    <pageSetUpPr fitToPage="1"/>
  </sheetPr>
  <dimension ref="A1:K33"/>
  <sheetViews>
    <sheetView tabSelected="1" view="pageBreakPreview" zoomScale="70" zoomScaleNormal="70" zoomScaleSheetLayoutView="70" workbookViewId="0">
      <selection activeCell="O8" sqref="O8"/>
    </sheetView>
  </sheetViews>
  <sheetFormatPr defaultRowHeight="16.5"/>
  <cols>
    <col min="1" max="1" width="5.875" customWidth="1"/>
    <col min="2" max="2" width="9.375" customWidth="1"/>
    <col min="3" max="3" width="12.375" customWidth="1"/>
    <col min="4" max="4" width="24.125" bestFit="1" customWidth="1"/>
    <col min="5" max="5" width="15.75" customWidth="1"/>
    <col min="6" max="7" width="13.375" customWidth="1"/>
    <col min="8" max="8" width="32.5" customWidth="1"/>
  </cols>
  <sheetData>
    <row r="1" spans="1:11" ht="37.5">
      <c r="A1" s="530" t="s">
        <v>376</v>
      </c>
      <c r="B1" s="530"/>
      <c r="C1" s="530"/>
      <c r="D1" s="530"/>
      <c r="E1" s="530"/>
      <c r="F1" s="530"/>
      <c r="G1" s="530"/>
      <c r="H1" s="530"/>
    </row>
    <row r="2" spans="1:11" ht="19.5">
      <c r="A2" s="531"/>
      <c r="B2" s="531"/>
      <c r="C2" s="531"/>
      <c r="D2" s="531"/>
      <c r="E2" s="531"/>
      <c r="F2" s="531"/>
      <c r="G2" s="531"/>
      <c r="H2" s="531"/>
    </row>
    <row r="3" spans="1:11" ht="24.75" thickBot="1">
      <c r="A3" s="532" t="s">
        <v>377</v>
      </c>
      <c r="B3" s="532"/>
      <c r="C3" s="533">
        <f>'1.발주접수'!$C$6</f>
        <v>46058</v>
      </c>
      <c r="D3" s="533"/>
      <c r="E3" s="533"/>
      <c r="F3" s="329" t="s">
        <v>378</v>
      </c>
      <c r="G3" s="534">
        <f>'1.발주접수'!$C$7</f>
        <v>46072</v>
      </c>
      <c r="H3" s="534"/>
    </row>
    <row r="4" spans="1:11" ht="27" customHeight="1">
      <c r="A4" s="520" t="s">
        <v>379</v>
      </c>
      <c r="B4" s="521"/>
      <c r="C4" s="522" t="s">
        <v>380</v>
      </c>
      <c r="D4" s="522"/>
      <c r="E4" s="522"/>
      <c r="F4" s="330" t="s">
        <v>381</v>
      </c>
      <c r="G4" s="523" t="s">
        <v>382</v>
      </c>
      <c r="H4" s="524"/>
    </row>
    <row r="5" spans="1:11" ht="27" customHeight="1">
      <c r="A5" s="525" t="s">
        <v>383</v>
      </c>
      <c r="B5" s="526"/>
      <c r="C5" s="527" t="s">
        <v>384</v>
      </c>
      <c r="D5" s="527"/>
      <c r="E5" s="527"/>
      <c r="F5" s="331" t="s">
        <v>383</v>
      </c>
      <c r="G5" s="528" t="s">
        <v>385</v>
      </c>
      <c r="H5" s="529"/>
    </row>
    <row r="6" spans="1:11" ht="27" customHeight="1">
      <c r="A6" s="535" t="s">
        <v>386</v>
      </c>
      <c r="B6" s="536"/>
      <c r="C6" s="537" t="s">
        <v>387</v>
      </c>
      <c r="D6" s="538"/>
      <c r="E6" s="539"/>
      <c r="F6" s="332" t="s">
        <v>386</v>
      </c>
      <c r="G6" s="528" t="s">
        <v>388</v>
      </c>
      <c r="H6" s="529"/>
    </row>
    <row r="7" spans="1:11" ht="27" customHeight="1" thickBot="1">
      <c r="A7" s="540" t="s">
        <v>389</v>
      </c>
      <c r="B7" s="541"/>
      <c r="C7" s="542" t="s">
        <v>455</v>
      </c>
      <c r="D7" s="542"/>
      <c r="E7" s="543"/>
      <c r="F7" s="333" t="s">
        <v>389</v>
      </c>
      <c r="G7" s="544" t="s">
        <v>390</v>
      </c>
      <c r="H7" s="545"/>
    </row>
    <row r="8" spans="1:11" ht="27" customHeight="1" thickTop="1">
      <c r="A8" s="525" t="s">
        <v>391</v>
      </c>
      <c r="B8" s="334" t="s">
        <v>392</v>
      </c>
      <c r="C8" s="547" t="str">
        <f>'1.발주접수'!$C$8</f>
        <v>현장명 예시</v>
      </c>
      <c r="D8" s="547"/>
      <c r="E8" s="547"/>
      <c r="F8" s="547"/>
      <c r="G8" s="547"/>
      <c r="H8" s="548"/>
    </row>
    <row r="9" spans="1:11" ht="27" customHeight="1">
      <c r="A9" s="525"/>
      <c r="B9" s="334" t="s">
        <v>119</v>
      </c>
      <c r="C9" s="547" t="str">
        <f>'1.발주접수'!$C$10</f>
        <v>주소 예시</v>
      </c>
      <c r="D9" s="547"/>
      <c r="E9" s="547"/>
      <c r="F9" s="547"/>
      <c r="G9" s="547"/>
      <c r="H9" s="548"/>
    </row>
    <row r="10" spans="1:11" ht="27" customHeight="1" thickBot="1">
      <c r="A10" s="546"/>
      <c r="B10" s="335" t="s">
        <v>393</v>
      </c>
      <c r="C10" s="549" t="str">
        <f>'1.발주접수'!$C$11</f>
        <v>인수자 예시</v>
      </c>
      <c r="D10" s="550"/>
      <c r="E10" s="551"/>
      <c r="F10" s="335" t="s">
        <v>394</v>
      </c>
      <c r="G10" s="552" t="str">
        <f>'1.발주접수'!$C$12</f>
        <v>연락처 예시</v>
      </c>
      <c r="H10" s="553"/>
    </row>
    <row r="11" spans="1:11" ht="17.25" thickBot="1">
      <c r="A11" s="554"/>
      <c r="B11" s="554"/>
      <c r="C11" s="554"/>
      <c r="D11" s="554"/>
      <c r="E11" s="554"/>
      <c r="F11" s="554"/>
      <c r="G11" s="554"/>
      <c r="H11" s="554"/>
    </row>
    <row r="12" spans="1:11" ht="24" customHeight="1">
      <c r="A12" s="555" t="s">
        <v>395</v>
      </c>
      <c r="B12" s="556"/>
      <c r="C12" s="557"/>
      <c r="D12" s="336" t="s">
        <v>396</v>
      </c>
      <c r="E12" s="336" t="s">
        <v>43</v>
      </c>
      <c r="F12" s="336" t="s">
        <v>397</v>
      </c>
      <c r="G12" s="336" t="s">
        <v>398</v>
      </c>
      <c r="H12" s="337" t="s">
        <v>399</v>
      </c>
      <c r="J12" s="338"/>
      <c r="K12" s="338"/>
    </row>
    <row r="13" spans="1:11" ht="24" customHeight="1">
      <c r="A13" s="518" t="str">
        <f>'2.고정구단가산출'!F13</f>
        <v>내화채움구조(벽체,강관용)</v>
      </c>
      <c r="B13" s="519"/>
      <c r="C13" s="519"/>
      <c r="D13" s="339" t="str">
        <f>IFERROR(LEFT('2.고정구단가산출'!G13, FIND("*", '2.고정구단가산출'!G13) - 1), '2.고정구단가산출'!G13)</f>
        <v>15</v>
      </c>
      <c r="E13" s="340" t="str">
        <f>IFERROR(RIGHT('2.고정구단가산출'!G13, LEN('2.고정구단가산출'!G13) - FIND("*", '2.고정구단가산출'!G13)), '2.고정구단가산출'!G13)</f>
        <v>25</v>
      </c>
      <c r="F13" s="340" t="str">
        <f>'2.고정구단가산출'!H13</f>
        <v>개소</v>
      </c>
      <c r="G13" s="341">
        <f>'2.고정구단가산출'!I13</f>
        <v>3</v>
      </c>
      <c r="H13" s="514">
        <f>'2.고정구단가산출'!J13</f>
        <v>0</v>
      </c>
      <c r="J13" s="7"/>
      <c r="K13" s="7"/>
    </row>
    <row r="14" spans="1:11" ht="24" customHeight="1">
      <c r="A14" s="518"/>
      <c r="B14" s="519"/>
      <c r="C14" s="519"/>
      <c r="D14" s="339"/>
      <c r="E14" s="340"/>
      <c r="F14" s="340"/>
      <c r="G14" s="341"/>
      <c r="H14" s="342"/>
      <c r="J14" s="7"/>
      <c r="K14" s="7"/>
    </row>
    <row r="15" spans="1:11" ht="24" customHeight="1">
      <c r="A15" s="518"/>
      <c r="B15" s="519"/>
      <c r="C15" s="519"/>
      <c r="D15" s="340"/>
      <c r="E15" s="340"/>
      <c r="F15" s="340"/>
      <c r="G15" s="341"/>
      <c r="H15" s="342"/>
      <c r="J15" s="7"/>
      <c r="K15" s="7"/>
    </row>
    <row r="16" spans="1:11" ht="24" customHeight="1">
      <c r="A16" s="518"/>
      <c r="B16" s="519"/>
      <c r="C16" s="519"/>
      <c r="D16" s="339"/>
      <c r="E16" s="340"/>
      <c r="F16" s="340"/>
      <c r="G16" s="341"/>
      <c r="H16" s="342"/>
      <c r="J16" s="7"/>
      <c r="K16" s="7"/>
    </row>
    <row r="17" spans="1:11" ht="24" customHeight="1">
      <c r="A17" s="518"/>
      <c r="B17" s="519"/>
      <c r="C17" s="519"/>
      <c r="D17" s="340"/>
      <c r="E17" s="340"/>
      <c r="F17" s="340"/>
      <c r="G17" s="341"/>
      <c r="H17" s="343"/>
      <c r="J17" s="7"/>
      <c r="K17" s="7"/>
    </row>
    <row r="18" spans="1:11" ht="24" customHeight="1">
      <c r="A18" s="518"/>
      <c r="B18" s="519"/>
      <c r="C18" s="519"/>
      <c r="D18" s="340"/>
      <c r="E18" s="340"/>
      <c r="F18" s="340"/>
      <c r="G18" s="341"/>
      <c r="H18" s="343"/>
      <c r="J18" s="7"/>
      <c r="K18" s="7"/>
    </row>
    <row r="19" spans="1:11" ht="24" customHeight="1">
      <c r="A19" s="518"/>
      <c r="B19" s="519"/>
      <c r="C19" s="519"/>
      <c r="D19" s="340"/>
      <c r="E19" s="340"/>
      <c r="F19" s="340"/>
      <c r="G19" s="341"/>
      <c r="H19" s="343"/>
      <c r="J19" s="7"/>
      <c r="K19" s="7"/>
    </row>
    <row r="20" spans="1:11" ht="24" customHeight="1">
      <c r="A20" s="518"/>
      <c r="B20" s="519"/>
      <c r="C20" s="519"/>
      <c r="D20" s="340"/>
      <c r="E20" s="340"/>
      <c r="F20" s="340"/>
      <c r="G20" s="341"/>
      <c r="H20" s="343"/>
      <c r="J20" s="7"/>
      <c r="K20" s="7"/>
    </row>
    <row r="21" spans="1:11" ht="24" customHeight="1">
      <c r="A21" s="515"/>
      <c r="B21" s="516"/>
      <c r="C21" s="517"/>
      <c r="D21" s="340"/>
      <c r="E21" s="340"/>
      <c r="F21" s="340"/>
      <c r="G21" s="341"/>
      <c r="H21" s="343"/>
      <c r="J21" s="7"/>
      <c r="K21" s="7"/>
    </row>
    <row r="22" spans="1:11" ht="24" customHeight="1">
      <c r="A22" s="515"/>
      <c r="B22" s="516"/>
      <c r="C22" s="517"/>
      <c r="D22" s="340"/>
      <c r="E22" s="340"/>
      <c r="F22" s="340"/>
      <c r="G22" s="341"/>
      <c r="H22" s="343"/>
      <c r="J22" s="7"/>
      <c r="K22" s="7"/>
    </row>
    <row r="23" spans="1:11" ht="24" customHeight="1">
      <c r="A23" s="515"/>
      <c r="B23" s="516"/>
      <c r="C23" s="517"/>
      <c r="D23" s="344"/>
      <c r="E23" s="344"/>
      <c r="F23" s="340"/>
      <c r="G23" s="345"/>
      <c r="H23" s="343"/>
      <c r="J23" s="7"/>
      <c r="K23" s="7"/>
    </row>
    <row r="24" spans="1:11" ht="24" customHeight="1">
      <c r="A24" s="515"/>
      <c r="B24" s="516"/>
      <c r="C24" s="517"/>
      <c r="D24" s="340"/>
      <c r="E24" s="340"/>
      <c r="F24" s="340"/>
      <c r="G24" s="341"/>
      <c r="H24" s="343"/>
      <c r="J24" s="7"/>
      <c r="K24" s="7"/>
    </row>
    <row r="25" spans="1:11" ht="24" customHeight="1">
      <c r="A25" s="515"/>
      <c r="B25" s="516"/>
      <c r="C25" s="517"/>
      <c r="D25" s="340"/>
      <c r="E25" s="340"/>
      <c r="F25" s="340"/>
      <c r="G25" s="341"/>
      <c r="H25" s="343"/>
      <c r="J25" s="7"/>
      <c r="K25" s="7"/>
    </row>
    <row r="26" spans="1:11" ht="24" customHeight="1">
      <c r="A26" s="515"/>
      <c r="B26" s="516"/>
      <c r="C26" s="517"/>
      <c r="D26" s="564"/>
      <c r="E26" s="565"/>
      <c r="F26" s="340"/>
      <c r="G26" s="341"/>
      <c r="H26" s="346"/>
      <c r="J26" s="7"/>
      <c r="K26" s="7"/>
    </row>
    <row r="27" spans="1:11" ht="24" customHeight="1">
      <c r="A27" s="515"/>
      <c r="B27" s="516"/>
      <c r="C27" s="517"/>
      <c r="D27" s="564"/>
      <c r="E27" s="565"/>
      <c r="F27" s="340"/>
      <c r="G27" s="341"/>
      <c r="H27" s="346"/>
      <c r="J27" s="7"/>
      <c r="K27" s="7"/>
    </row>
    <row r="28" spans="1:11" ht="24" customHeight="1">
      <c r="A28" s="558"/>
      <c r="B28" s="559"/>
      <c r="C28" s="560"/>
      <c r="D28" s="344"/>
      <c r="E28" s="344"/>
      <c r="F28" s="340"/>
      <c r="G28" s="345"/>
      <c r="H28" s="346"/>
      <c r="J28" s="7"/>
      <c r="K28" s="7"/>
    </row>
    <row r="29" spans="1:11" ht="24" customHeight="1">
      <c r="A29" s="558"/>
      <c r="B29" s="559"/>
      <c r="C29" s="560"/>
      <c r="D29" s="340"/>
      <c r="E29" s="340"/>
      <c r="F29" s="340"/>
      <c r="G29" s="341"/>
      <c r="H29" s="346"/>
      <c r="J29" s="7"/>
      <c r="K29" s="7"/>
    </row>
    <row r="30" spans="1:11" ht="24" customHeight="1">
      <c r="A30" s="558"/>
      <c r="B30" s="559"/>
      <c r="C30" s="560"/>
      <c r="D30" s="340"/>
      <c r="E30" s="340"/>
      <c r="F30" s="340"/>
      <c r="G30" s="341"/>
      <c r="H30" s="346"/>
      <c r="J30" s="7"/>
      <c r="K30" s="7"/>
    </row>
    <row r="31" spans="1:11" ht="24" customHeight="1">
      <c r="A31" s="347"/>
      <c r="B31" s="348"/>
      <c r="C31" s="349"/>
      <c r="D31" s="340"/>
      <c r="E31" s="340"/>
      <c r="F31" s="340"/>
      <c r="G31" s="341"/>
      <c r="H31" s="346"/>
      <c r="J31" s="7"/>
      <c r="K31" s="7"/>
    </row>
    <row r="32" spans="1:11" ht="24" customHeight="1" thickBot="1">
      <c r="A32" s="558"/>
      <c r="B32" s="559"/>
      <c r="C32" s="560"/>
      <c r="D32" s="350"/>
      <c r="E32" s="350"/>
      <c r="F32" s="350"/>
      <c r="G32" s="351"/>
      <c r="H32" s="352"/>
    </row>
    <row r="33" spans="1:8" ht="24.75" thickBot="1">
      <c r="A33" s="561" t="s">
        <v>400</v>
      </c>
      <c r="B33" s="562"/>
      <c r="C33" s="562"/>
      <c r="D33" s="562"/>
      <c r="E33" s="563"/>
      <c r="F33" s="353">
        <f>SUM(F13:F32)</f>
        <v>0</v>
      </c>
      <c r="G33" s="354">
        <f>SUM(G13:G32)</f>
        <v>3</v>
      </c>
      <c r="H33" s="355"/>
    </row>
  </sheetData>
  <mergeCells count="46">
    <mergeCell ref="A29:C29"/>
    <mergeCell ref="A30:C30"/>
    <mergeCell ref="A32:C32"/>
    <mergeCell ref="A33:E33"/>
    <mergeCell ref="A26:C26"/>
    <mergeCell ref="D26:E26"/>
    <mergeCell ref="A27:C27"/>
    <mergeCell ref="D27:E27"/>
    <mergeCell ref="A28:C28"/>
    <mergeCell ref="A11:H11"/>
    <mergeCell ref="A12:C12"/>
    <mergeCell ref="A13:C13"/>
    <mergeCell ref="A14:C14"/>
    <mergeCell ref="A15:C15"/>
    <mergeCell ref="A8:A10"/>
    <mergeCell ref="C8:H8"/>
    <mergeCell ref="C9:H9"/>
    <mergeCell ref="C10:E10"/>
    <mergeCell ref="G10:H10"/>
    <mergeCell ref="A6:B6"/>
    <mergeCell ref="C6:E6"/>
    <mergeCell ref="G6:H6"/>
    <mergeCell ref="A7:B7"/>
    <mergeCell ref="C7:E7"/>
    <mergeCell ref="G7:H7"/>
    <mergeCell ref="A1:H1"/>
    <mergeCell ref="A2:H2"/>
    <mergeCell ref="A3:B3"/>
    <mergeCell ref="C3:E3"/>
    <mergeCell ref="G3:H3"/>
    <mergeCell ref="A4:B4"/>
    <mergeCell ref="C4:E4"/>
    <mergeCell ref="G4:H4"/>
    <mergeCell ref="A5:B5"/>
    <mergeCell ref="C5:E5"/>
    <mergeCell ref="G5:H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</mergeCells>
  <phoneticPr fontId="2" type="noConversion"/>
  <hyperlinks>
    <hyperlink ref="G7" r:id="rId1" xr:uid="{3932D1A0-4047-4726-9A1D-FA8354D346DC}"/>
    <hyperlink ref="C7" r:id="rId2" xr:uid="{547D2C82-FF6E-4AFD-9AEE-7DE1E16F2553}"/>
  </hyperlinks>
  <printOptions horizontalCentered="1"/>
  <pageMargins left="0.70866141732283472" right="0.70866141732283472" top="0.74803149606299213" bottom="0.74803149606299213" header="0.31496062992125984" footer="0.31496062992125984"/>
  <pageSetup paperSize="9" scale="63" fitToHeight="0" orientation="portrait" r:id="rId3"/>
  <headerFooter>
    <oddHeader>&amp;R&amp;N/&amp;P</oddHeader>
    <oddFooter>&amp;L&amp;A&amp;R&amp;F</oddFooter>
  </headerFooter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124</vt:i4>
      </vt:variant>
    </vt:vector>
  </HeadingPairs>
  <TitlesOfParts>
    <vt:vector size="131" baseType="lpstr">
      <vt:lpstr>단가표</vt:lpstr>
      <vt:lpstr>1.발주접수</vt:lpstr>
      <vt:lpstr>2.고정구단가산출</vt:lpstr>
      <vt:lpstr>2-1.고정구단가산출&lt;출력용&gt;</vt:lpstr>
      <vt:lpstr>3.견적서</vt:lpstr>
      <vt:lpstr>4.거래명세서</vt:lpstr>
      <vt:lpstr>5.발주서 </vt:lpstr>
      <vt:lpstr>D_100</vt:lpstr>
      <vt:lpstr>D_75</vt:lpstr>
      <vt:lpstr>'1.발주접수'!Print_Area</vt:lpstr>
      <vt:lpstr>'3.견적서'!Print_Area</vt:lpstr>
      <vt:lpstr>'4.거래명세서'!Print_Area</vt:lpstr>
      <vt:lpstr>'5.발주서 '!Print_Area</vt:lpstr>
      <vt:lpstr>'2-1.고정구단가산출&lt;출력용&gt;'!Print_Titles</vt:lpstr>
      <vt:lpstr>벽체_PVC</vt:lpstr>
      <vt:lpstr>벽체_PVC_100A</vt:lpstr>
      <vt:lpstr>벽체_PVC_125A</vt:lpstr>
      <vt:lpstr>벽체_PVC_150A</vt:lpstr>
      <vt:lpstr>벽체_PVC_25A</vt:lpstr>
      <vt:lpstr>벽체_PVC_30A</vt:lpstr>
      <vt:lpstr>벽체_PVC_35A</vt:lpstr>
      <vt:lpstr>벽체_PVC_40A</vt:lpstr>
      <vt:lpstr>벽체_PVC_50A</vt:lpstr>
      <vt:lpstr>벽체_PVC_65A</vt:lpstr>
      <vt:lpstr>벽체_PVC_75A</vt:lpstr>
      <vt:lpstr>벽체_SU</vt:lpstr>
      <vt:lpstr>벽체_SU_100A</vt:lpstr>
      <vt:lpstr>벽체_SU_20A</vt:lpstr>
      <vt:lpstr>벽체_SU_25A</vt:lpstr>
      <vt:lpstr>벽체_SU_30A</vt:lpstr>
      <vt:lpstr>벽체_SU_40A</vt:lpstr>
      <vt:lpstr>벽체_SU_50A</vt:lpstr>
      <vt:lpstr>벽체_SU_60A</vt:lpstr>
      <vt:lpstr>벽체_SU_75A</vt:lpstr>
      <vt:lpstr>벽체_SU_80A</vt:lpstr>
      <vt:lpstr>벽체_강관</vt:lpstr>
      <vt:lpstr>벽체_강관_100A</vt:lpstr>
      <vt:lpstr>벽체_강관_125A</vt:lpstr>
      <vt:lpstr>벽체_강관_150A</vt:lpstr>
      <vt:lpstr>벽체_강관_15A</vt:lpstr>
      <vt:lpstr>벽체_강관_200A</vt:lpstr>
      <vt:lpstr>벽체_강관_20A</vt:lpstr>
      <vt:lpstr>벽체_강관_25A</vt:lpstr>
      <vt:lpstr>벽체_강관_32A</vt:lpstr>
      <vt:lpstr>벽체_강관_40A</vt:lpstr>
      <vt:lpstr>벽체_강관_50A</vt:lpstr>
      <vt:lpstr>벽체_강관_65A</vt:lpstr>
      <vt:lpstr>벽체_강관_80A</vt:lpstr>
      <vt:lpstr>오배수_섹스티아</vt:lpstr>
      <vt:lpstr>원형댐퍼</vt:lpstr>
      <vt:lpstr>원형덕트</vt:lpstr>
      <vt:lpstr>입상_PVC_고정구_일체형</vt:lpstr>
      <vt:lpstr>입상_PVC_고정구_일체형_100A</vt:lpstr>
      <vt:lpstr>입상_PVC_고정구_일체형_50A</vt:lpstr>
      <vt:lpstr>입상_PVC_고정구_일체형_75A</vt:lpstr>
      <vt:lpstr>입상_PVC_고정구_일체형_ABS</vt:lpstr>
      <vt:lpstr>입상_PVC_고정틀</vt:lpstr>
      <vt:lpstr>입상_PVC_고정틀_100A</vt:lpstr>
      <vt:lpstr>입상_PVC_고정틀_125A</vt:lpstr>
      <vt:lpstr>입상_PVC_고정틀_150A</vt:lpstr>
      <vt:lpstr>입상_PVC_고정틀_50A</vt:lpstr>
      <vt:lpstr>입상_PVC_고정틀_75A</vt:lpstr>
      <vt:lpstr>입상_PVC_충진재</vt:lpstr>
      <vt:lpstr>입상_PVC_충진재_100A</vt:lpstr>
      <vt:lpstr>입상_PVC_충진재_125A</vt:lpstr>
      <vt:lpstr>입상_PVC_충진재_150A</vt:lpstr>
      <vt:lpstr>입상_PVC_충진재_50A</vt:lpstr>
      <vt:lpstr>입상_PVC_충진재_65A</vt:lpstr>
      <vt:lpstr>입상_PVC_충진재_75A</vt:lpstr>
      <vt:lpstr>입상_SU_고정구_일체형</vt:lpstr>
      <vt:lpstr>입상_SU_고정구_일체형_20A</vt:lpstr>
      <vt:lpstr>입상_SU_고정구_일체형_25A</vt:lpstr>
      <vt:lpstr>입상_SU_고정구_일체형_30A</vt:lpstr>
      <vt:lpstr>입상_SU_고정구_일체형_40A</vt:lpstr>
      <vt:lpstr>입상_SU_고정구_일체형_50A</vt:lpstr>
      <vt:lpstr>입상_SU_고정구_일체형_60A</vt:lpstr>
      <vt:lpstr>입상_SU_고정구_일체형_80A</vt:lpstr>
      <vt:lpstr>입상_SU_고정틀</vt:lpstr>
      <vt:lpstr>입상_SU_고정틀_20A</vt:lpstr>
      <vt:lpstr>입상_SU_고정틀_25A</vt:lpstr>
      <vt:lpstr>입상_SU_고정틀_30A</vt:lpstr>
      <vt:lpstr>입상_SU_고정틀_40A</vt:lpstr>
      <vt:lpstr>입상_SU_고정틀_50A</vt:lpstr>
      <vt:lpstr>입상_SU_고정틀_60A</vt:lpstr>
      <vt:lpstr>입상_SU_고정틀_80A</vt:lpstr>
      <vt:lpstr>입상_SU_충진재</vt:lpstr>
      <vt:lpstr>입상_SU_충진재_100A</vt:lpstr>
      <vt:lpstr>입상_SU_충진재_20A</vt:lpstr>
      <vt:lpstr>입상_SU_충진재_25A</vt:lpstr>
      <vt:lpstr>입상_SU_충진재_30A</vt:lpstr>
      <vt:lpstr>입상_SU_충진재_40A</vt:lpstr>
      <vt:lpstr>입상_SU_충진재_50A</vt:lpstr>
      <vt:lpstr>입상_SU_충진재_60A</vt:lpstr>
      <vt:lpstr>입상_SU_충진재_75A</vt:lpstr>
      <vt:lpstr>입상_SU_충진재_80A</vt:lpstr>
      <vt:lpstr>입상_강관_고정구_일체형</vt:lpstr>
      <vt:lpstr>입상_강관_고정구_일체형_100A</vt:lpstr>
      <vt:lpstr>입상_강관_고정구_일체형_15A</vt:lpstr>
      <vt:lpstr>입상_강관_고정구_일체형_20A</vt:lpstr>
      <vt:lpstr>입상_강관_고정구_일체형_25A</vt:lpstr>
      <vt:lpstr>입상_강관_고정구_일체형_32A</vt:lpstr>
      <vt:lpstr>입상_강관_고정구_일체형_40A</vt:lpstr>
      <vt:lpstr>입상_강관_고정구_일체형_50A</vt:lpstr>
      <vt:lpstr>입상_강관_고정구_일체형_65A</vt:lpstr>
      <vt:lpstr>입상_강관_고정구_일체형_80A</vt:lpstr>
      <vt:lpstr>입상_강관_고정구_일체형_ABS</vt:lpstr>
      <vt:lpstr>입상_강관_고정틀_100A</vt:lpstr>
      <vt:lpstr>입상_강관_고정틀_125A</vt:lpstr>
      <vt:lpstr>입상_강관_고정틀_150A</vt:lpstr>
      <vt:lpstr>입상_강관_고정틀_15A</vt:lpstr>
      <vt:lpstr>입상_강관_고정틀_20A</vt:lpstr>
      <vt:lpstr>입상_강관_고정틀_25A</vt:lpstr>
      <vt:lpstr>입상_강관_고정틀_32A</vt:lpstr>
      <vt:lpstr>입상_강관_고정틀_40A</vt:lpstr>
      <vt:lpstr>입상_강관_고정틀_50A</vt:lpstr>
      <vt:lpstr>입상_강관_고정틀_65A</vt:lpstr>
      <vt:lpstr>입상_강관_고정틀_80A</vt:lpstr>
      <vt:lpstr>입상_강관_충진재</vt:lpstr>
      <vt:lpstr>입상_강관_충진재_100A</vt:lpstr>
      <vt:lpstr>입상_강관_충진재_125A</vt:lpstr>
      <vt:lpstr>입상_강관_충진재_150A</vt:lpstr>
      <vt:lpstr>입상_강관_충진재_15A</vt:lpstr>
      <vt:lpstr>입상_강관_충진재_20A</vt:lpstr>
      <vt:lpstr>입상_강관_충진재_25A</vt:lpstr>
      <vt:lpstr>입상_강관_충진재_32A</vt:lpstr>
      <vt:lpstr>입상_강관_충진재_40A</vt:lpstr>
      <vt:lpstr>입상_강관_충진재_50A</vt:lpstr>
      <vt:lpstr>입상_강관_충진재_65A</vt:lpstr>
      <vt:lpstr>입상_강관_충진재_80A</vt:lpstr>
      <vt:lpstr>차열재</vt:lpstr>
      <vt:lpstr>투명_오배수_섹스티아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탑디뉴스</dc:creator>
  <cp:keywords/>
  <dc:description/>
  <cp:lastModifiedBy>주선 이</cp:lastModifiedBy>
  <cp:revision/>
  <cp:lastPrinted>2026-03-31T02:49:48Z</cp:lastPrinted>
  <dcterms:created xsi:type="dcterms:W3CDTF">2023-08-11T01:12:22Z</dcterms:created>
  <dcterms:modified xsi:type="dcterms:W3CDTF">2026-05-11T04:49:45Z</dcterms:modified>
  <cp:category/>
  <cp:contentStatus/>
</cp:coreProperties>
</file>