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codeName="현재_통합_문서"/>
  <mc:AlternateContent xmlns:mc="http://schemas.openxmlformats.org/markup-compatibility/2006">
    <mc:Choice Requires="x15">
      <x15ac:absPath xmlns:x15ac="http://schemas.microsoft.com/office/spreadsheetml/2010/11/ac" url="/Users/johnlee/projects/topdignus-demo/"/>
    </mc:Choice>
  </mc:AlternateContent>
  <xr:revisionPtr revIDLastSave="0" documentId="13_ncr:1_{F3393887-E50F-CA4A-8714-DCB3948DE5FE}" xr6:coauthVersionLast="47" xr6:coauthVersionMax="47" xr10:uidLastSave="{00000000-0000-0000-0000-000000000000}"/>
  <bookViews>
    <workbookView xWindow="0" yWindow="600" windowWidth="29040" windowHeight="15720" xr2:uid="{953E9C50-E039-4783-ADFB-CA6A3BE48BDB}"/>
  </bookViews>
  <sheets>
    <sheet name="1.발주접수" sheetId="4" r:id="rId1"/>
    <sheet name="2.고정구단가산출" sheetId="27" r:id="rId2"/>
    <sheet name="2-1.고정구단가산출&lt;출력용&gt;" sheetId="31" r:id="rId3"/>
    <sheet name="3.견적서" sheetId="15" r:id="rId4"/>
    <sheet name="4.거래명세서" sheetId="2" r:id="rId5"/>
    <sheet name="5.발주서 " sheetId="5" r:id="rId6"/>
  </sheets>
  <definedNames>
    <definedName name="관통슬리브">#REF!</definedName>
    <definedName name="벽체_강관">#REF!</definedName>
    <definedName name="벽체_강관_100A">#REF!</definedName>
    <definedName name="벽체_강관_125A">#REF!</definedName>
    <definedName name="벽체_강관_150A">#REF!</definedName>
    <definedName name="벽체_강관_15A">#REF!</definedName>
    <definedName name="벽체_강관_200A">#REF!</definedName>
    <definedName name="벽체_강관_20A">#REF!</definedName>
    <definedName name="벽체_강관_25A">#REF!</definedName>
    <definedName name="벽체_강관_32A">#REF!</definedName>
    <definedName name="벽체_강관_40A">#REF!</definedName>
    <definedName name="벽체_강관_50A">#REF!</definedName>
    <definedName name="벽체_강관_65A">#REF!</definedName>
    <definedName name="벽체_강관_80A">#REF!</definedName>
    <definedName name="벽체_PVC">#REF!</definedName>
    <definedName name="벽체_PVC_100A">#REF!</definedName>
    <definedName name="벽체_PVC_125A">#REF!</definedName>
    <definedName name="벽체_PVC_150A">#REF!</definedName>
    <definedName name="벽체_PVC_25A">#REF!</definedName>
    <definedName name="벽체_PVC_30A">#REF!</definedName>
    <definedName name="벽체_PVC_35A">#REF!</definedName>
    <definedName name="벽체_PVC_40A">#REF!</definedName>
    <definedName name="벽체_PVC_50A">#REF!</definedName>
    <definedName name="벽체_PVC_65A">#REF!</definedName>
    <definedName name="벽체_PVC_75A">#REF!</definedName>
    <definedName name="벽체_SU">#REF!</definedName>
    <definedName name="벽체_SU_100A">#REF!</definedName>
    <definedName name="벽체_SU_20A">#REF!</definedName>
    <definedName name="벽체_SU_25A">#REF!</definedName>
    <definedName name="벽체_SU_30A">#REF!</definedName>
    <definedName name="벽체_SU_40A">#REF!</definedName>
    <definedName name="벽체_SU_50A">#REF!</definedName>
    <definedName name="벽체_SU_60A">#REF!</definedName>
    <definedName name="벽체_SU_75A">#REF!</definedName>
    <definedName name="벽체_SU_80A">#REF!</definedName>
    <definedName name="연장관">#REF!</definedName>
    <definedName name="오배수_섹스티아">#REF!</definedName>
    <definedName name="원형댐퍼">#REF!</definedName>
    <definedName name="원형덕트">#REF!</definedName>
    <definedName name="입상_강관_고정구_일체형">#REF!</definedName>
    <definedName name="입상_강관_고정구_일체형_100A">#REF!</definedName>
    <definedName name="입상_강관_고정구_일체형_15A">#REF!</definedName>
    <definedName name="입상_강관_고정구_일체형_20A">#REF!</definedName>
    <definedName name="입상_강관_고정구_일체형_25A">#REF!</definedName>
    <definedName name="입상_강관_고정구_일체형_32A">#REF!</definedName>
    <definedName name="입상_강관_고정구_일체형_40A">#REF!</definedName>
    <definedName name="입상_강관_고정구_일체형_50A">#REF!</definedName>
    <definedName name="입상_강관_고정구_일체형_65A">#REF!</definedName>
    <definedName name="입상_강관_고정구_일체형_80A">#REF!</definedName>
    <definedName name="입상_강관_고정구_일체형_ABS">#REF!</definedName>
    <definedName name="입상_강관_고정틀">#REF!+#REF!</definedName>
    <definedName name="입상_강관_고정틀_100A">#REF!</definedName>
    <definedName name="입상_강관_고정틀_125A">#REF!</definedName>
    <definedName name="입상_강관_고정틀_150A">#REF!</definedName>
    <definedName name="입상_강관_고정틀_15A">#REF!</definedName>
    <definedName name="입상_강관_고정틀_20A">#REF!</definedName>
    <definedName name="입상_강관_고정틀_25A">#REF!</definedName>
    <definedName name="입상_강관_고정틀_32A">#REF!</definedName>
    <definedName name="입상_강관_고정틀_40A">#REF!</definedName>
    <definedName name="입상_강관_고정틀_50A">#REF!</definedName>
    <definedName name="입상_강관_고정틀_65A">#REF!</definedName>
    <definedName name="입상_강관_고정틀_80A">#REF!</definedName>
    <definedName name="입상_강관_충진재">#REF!</definedName>
    <definedName name="입상_강관_충진재_100A">#REF!</definedName>
    <definedName name="입상_강관_충진재_125A">#REF!</definedName>
    <definedName name="입상_강관_충진재_150A">#REF!</definedName>
    <definedName name="입상_강관_충진재_15A">#REF!</definedName>
    <definedName name="입상_강관_충진재_20A">#REF!</definedName>
    <definedName name="입상_강관_충진재_25A">#REF!</definedName>
    <definedName name="입상_강관_충진재_32A">#REF!</definedName>
    <definedName name="입상_강관_충진재_40A">#REF!</definedName>
    <definedName name="입상_강관_충진재_50A">#REF!</definedName>
    <definedName name="입상_강관_충진재_65A">#REF!</definedName>
    <definedName name="입상_강관_충진재_80A">#REF!</definedName>
    <definedName name="입상_PVC_고정구_일체형">#REF!</definedName>
    <definedName name="입상_PVC_고정구_일체형_100A">#REF!</definedName>
    <definedName name="입상_PVC_고정구_일체형_50A">#REF!</definedName>
    <definedName name="입상_PVC_고정구_일체형_75A">#REF!</definedName>
    <definedName name="입상_PVC_고정구_일체형_ABS">#REF!</definedName>
    <definedName name="입상_PVC_고정틀">#REF!</definedName>
    <definedName name="입상_PVC_고정틀_100A">#REF!</definedName>
    <definedName name="입상_PVC_고정틀_125A">#REF!</definedName>
    <definedName name="입상_PVC_고정틀_150A">#REF!</definedName>
    <definedName name="입상_PVC_고정틀_50A">#REF!</definedName>
    <definedName name="입상_PVC_고정틀_75A">#REF!</definedName>
    <definedName name="입상_PVC_충진재">#REF!</definedName>
    <definedName name="입상_PVC_충진재_100A">#REF!</definedName>
    <definedName name="입상_PVC_충진재_125A">#REF!</definedName>
    <definedName name="입상_PVC_충진재_150A">#REF!</definedName>
    <definedName name="입상_PVC_충진재_50A">#REF!</definedName>
    <definedName name="입상_PVC_충진재_65A">#REF!</definedName>
    <definedName name="입상_PVC_충진재_75A">#REF!</definedName>
    <definedName name="입상_SU_고정구_일체형">#REF!</definedName>
    <definedName name="입상_SU_고정구_일체형_20A">#REF!</definedName>
    <definedName name="입상_SU_고정구_일체형_25A">#REF!</definedName>
    <definedName name="입상_SU_고정구_일체형_30A">#REF!</definedName>
    <definedName name="입상_SU_고정구_일체형_40A">#REF!</definedName>
    <definedName name="입상_SU_고정구_일체형_50A">#REF!</definedName>
    <definedName name="입상_SU_고정구_일체형_60A">#REF!</definedName>
    <definedName name="입상_SU_고정구_일체형_80A">#REF!</definedName>
    <definedName name="입상_SU_고정틀">#REF!</definedName>
    <definedName name="입상_SU_고정틀_20A">#REF!</definedName>
    <definedName name="입상_SU_고정틀_25A">#REF!</definedName>
    <definedName name="입상_SU_고정틀_30A">#REF!</definedName>
    <definedName name="입상_SU_고정틀_40A">#REF!</definedName>
    <definedName name="입상_SU_고정틀_50A">#REF!</definedName>
    <definedName name="입상_SU_고정틀_60A">#REF!</definedName>
    <definedName name="입상_SU_고정틀_80A">#REF!</definedName>
    <definedName name="입상_SU_충진재">#REF!</definedName>
    <definedName name="입상_SU_충진재_100A">#REF!</definedName>
    <definedName name="입상_SU_충진재_20A">#REF!</definedName>
    <definedName name="입상_SU_충진재_25A">#REF!</definedName>
    <definedName name="입상_SU_충진재_30A">#REF!</definedName>
    <definedName name="입상_SU_충진재_40A">#REF!</definedName>
    <definedName name="입상_SU_충진재_50A">#REF!</definedName>
    <definedName name="입상_SU_충진재_60A">#REF!</definedName>
    <definedName name="입상_SU_충진재_75A">#REF!</definedName>
    <definedName name="입상_SU_충진재_80A">#REF!</definedName>
    <definedName name="차열재">#REF!</definedName>
    <definedName name="투명_오배수_섹스티아">#REF!</definedName>
    <definedName name="D_100">#REF!</definedName>
    <definedName name="D_75">#REF!</definedName>
    <definedName name="_xlnm.Print_Area" localSheetId="0">'1.발주접수'!$B$4:$G$14</definedName>
    <definedName name="_xlnm.Print_Area" localSheetId="3">'3.견적서'!$A$1:$I$59</definedName>
    <definedName name="_xlnm.Print_Area" localSheetId="4">'4.거래명세서'!$A$1:$I$26</definedName>
    <definedName name="_xlnm.Print_Area" localSheetId="5">'5.발주서 '!$A$1:$H$33</definedName>
    <definedName name="_xlnm.Print_Titles" localSheetId="2">'2-1.고정구단가산출&lt;출력용&gt;'!$1:$6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5" l="1"/>
  <c r="E13" i="5"/>
  <c r="D13" i="5"/>
  <c r="G13" i="5"/>
  <c r="F13" i="5"/>
  <c r="A13" i="5"/>
  <c r="L9" i="15" l="1"/>
  <c r="M12" i="15"/>
  <c r="M13" i="15"/>
  <c r="B29" i="15" l="1"/>
  <c r="C29" i="15"/>
  <c r="D29" i="15"/>
  <c r="E29" i="15"/>
  <c r="B30" i="15"/>
  <c r="C30" i="15"/>
  <c r="D30" i="15"/>
  <c r="E30" i="15"/>
  <c r="B31" i="15"/>
  <c r="C31" i="15"/>
  <c r="D31" i="15"/>
  <c r="E31" i="15"/>
  <c r="B32" i="15"/>
  <c r="C32" i="15"/>
  <c r="D32" i="15"/>
  <c r="E32" i="15"/>
  <c r="B33" i="15"/>
  <c r="C33" i="15"/>
  <c r="D33" i="15"/>
  <c r="E33" i="15"/>
  <c r="B34" i="15"/>
  <c r="C34" i="15"/>
  <c r="D34" i="15"/>
  <c r="E34" i="15"/>
  <c r="B35" i="15"/>
  <c r="C35" i="15"/>
  <c r="D35" i="15"/>
  <c r="E35" i="15"/>
  <c r="B36" i="15"/>
  <c r="C36" i="15"/>
  <c r="D36" i="15"/>
  <c r="E36" i="15"/>
  <c r="B37" i="15"/>
  <c r="C37" i="15"/>
  <c r="D37" i="15"/>
  <c r="E37" i="15"/>
  <c r="B38" i="15"/>
  <c r="C38" i="15"/>
  <c r="D38" i="15"/>
  <c r="E38" i="15"/>
  <c r="B39" i="15"/>
  <c r="C39" i="15"/>
  <c r="D39" i="15"/>
  <c r="E39" i="15"/>
  <c r="B40" i="15"/>
  <c r="C40" i="15"/>
  <c r="D40" i="15"/>
  <c r="E40" i="15"/>
  <c r="B41" i="15"/>
  <c r="C41" i="15"/>
  <c r="D41" i="15"/>
  <c r="E41" i="15"/>
  <c r="B42" i="15"/>
  <c r="C42" i="15"/>
  <c r="D42" i="15"/>
  <c r="E42" i="15"/>
  <c r="B43" i="15"/>
  <c r="C43" i="15"/>
  <c r="D43" i="15"/>
  <c r="E43" i="15"/>
  <c r="B44" i="15"/>
  <c r="C44" i="15"/>
  <c r="D44" i="15"/>
  <c r="E44" i="15"/>
  <c r="B45" i="15"/>
  <c r="C45" i="15"/>
  <c r="D45" i="15"/>
  <c r="E45" i="15"/>
  <c r="B46" i="15"/>
  <c r="C46" i="15"/>
  <c r="D46" i="15"/>
  <c r="E46" i="15"/>
  <c r="B47" i="15"/>
  <c r="C47" i="15"/>
  <c r="D47" i="15"/>
  <c r="E47" i="15"/>
  <c r="B48" i="15"/>
  <c r="C48" i="15"/>
  <c r="D48" i="15"/>
  <c r="E48" i="15"/>
  <c r="B49" i="15"/>
  <c r="C49" i="15"/>
  <c r="D49" i="15"/>
  <c r="E49" i="15"/>
  <c r="B22" i="15"/>
  <c r="C22" i="15"/>
  <c r="D22" i="15"/>
  <c r="E22" i="15"/>
  <c r="B23" i="15"/>
  <c r="C23" i="15"/>
  <c r="D23" i="15"/>
  <c r="E23" i="15"/>
  <c r="B24" i="15"/>
  <c r="C24" i="15"/>
  <c r="D24" i="15"/>
  <c r="E24" i="15"/>
  <c r="B25" i="15"/>
  <c r="C25" i="15"/>
  <c r="D25" i="15"/>
  <c r="E25" i="15"/>
  <c r="B26" i="15"/>
  <c r="C26" i="15"/>
  <c r="D26" i="15"/>
  <c r="E26" i="15"/>
  <c r="B27" i="15"/>
  <c r="C27" i="15"/>
  <c r="D27" i="15"/>
  <c r="E27" i="15"/>
  <c r="B28" i="15"/>
  <c r="C28" i="15"/>
  <c r="D28" i="15"/>
  <c r="E28" i="15"/>
  <c r="A24" i="2" l="1"/>
  <c r="A25" i="2"/>
  <c r="I12" i="31" l="1"/>
  <c r="H12" i="31"/>
  <c r="G12" i="31"/>
  <c r="F12" i="31"/>
  <c r="E12" i="31"/>
  <c r="D12" i="31"/>
  <c r="C12" i="31"/>
  <c r="I11" i="31"/>
  <c r="H11" i="31"/>
  <c r="G11" i="31"/>
  <c r="F11" i="31"/>
  <c r="E11" i="31"/>
  <c r="D11" i="31"/>
  <c r="C11" i="31"/>
  <c r="G3" i="5" l="1"/>
  <c r="C3" i="5"/>
  <c r="G10" i="5"/>
  <c r="C10" i="5"/>
  <c r="C9" i="5"/>
  <c r="C8" i="5"/>
  <c r="G33" i="5"/>
  <c r="F33" i="5"/>
  <c r="F8" i="27" l="1"/>
  <c r="B25" i="2" l="1"/>
  <c r="C25" i="2"/>
  <c r="D25" i="2"/>
  <c r="E25" i="2"/>
  <c r="F25" i="2"/>
  <c r="B26" i="2"/>
  <c r="C26" i="2"/>
  <c r="D26" i="2"/>
  <c r="E26" i="2"/>
  <c r="F26" i="2"/>
  <c r="M11" i="15"/>
  <c r="L15" i="2"/>
  <c r="L14" i="2"/>
  <c r="K11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I10" i="31" l="1"/>
  <c r="H10" i="31"/>
  <c r="G10" i="31"/>
  <c r="F10" i="31"/>
  <c r="E10" i="31"/>
  <c r="D10" i="31"/>
  <c r="C10" i="31"/>
  <c r="I9" i="31"/>
  <c r="H9" i="31"/>
  <c r="G9" i="31"/>
  <c r="F9" i="31"/>
  <c r="E9" i="31"/>
  <c r="D9" i="31"/>
  <c r="C9" i="31"/>
  <c r="I8" i="31"/>
  <c r="H8" i="31"/>
  <c r="G8" i="31"/>
  <c r="F8" i="31"/>
  <c r="E8" i="31"/>
  <c r="D8" i="31"/>
  <c r="C8" i="31"/>
  <c r="C7" i="31"/>
  <c r="T103" i="27" l="1"/>
  <c r="T104" i="27"/>
  <c r="T105" i="27"/>
  <c r="T106" i="27"/>
  <c r="T102" i="27"/>
  <c r="V103" i="27" l="1"/>
  <c r="V102" i="27"/>
  <c r="L14" i="31" l="1"/>
  <c r="K14" i="31"/>
  <c r="I14" i="31"/>
  <c r="H14" i="31"/>
  <c r="G14" i="31"/>
  <c r="F14" i="31"/>
  <c r="E14" i="31"/>
  <c r="D14" i="31"/>
  <c r="C14" i="31"/>
  <c r="N13" i="31"/>
  <c r="M13" i="31"/>
  <c r="L13" i="31"/>
  <c r="K13" i="31"/>
  <c r="I13" i="31"/>
  <c r="H13" i="31"/>
  <c r="G13" i="31"/>
  <c r="F13" i="31"/>
  <c r="E13" i="31"/>
  <c r="D13" i="31"/>
  <c r="C13" i="31"/>
  <c r="I7" i="31"/>
  <c r="H7" i="31"/>
  <c r="G7" i="31"/>
  <c r="F7" i="31"/>
  <c r="E7" i="31"/>
  <c r="D7" i="31"/>
  <c r="F2" i="31"/>
  <c r="C2" i="31"/>
  <c r="B8" i="31"/>
  <c r="B9" i="31" s="1"/>
  <c r="B10" i="31" s="1"/>
  <c r="B12" i="31" l="1"/>
  <c r="B13" i="31" s="1"/>
  <c r="B14" i="31" s="1"/>
  <c r="B11" i="31"/>
  <c r="T109" i="27"/>
  <c r="G52" i="15" l="1"/>
  <c r="G25" i="2" s="1"/>
  <c r="E21" i="15" l="1"/>
  <c r="D21" i="15"/>
  <c r="D19" i="2" s="1"/>
  <c r="C21" i="15"/>
  <c r="B21" i="15"/>
  <c r="B19" i="2" s="1"/>
  <c r="C19" i="2" l="1"/>
  <c r="E19" i="2"/>
  <c r="M70" i="27" l="1"/>
  <c r="M56" i="27"/>
  <c r="M42" i="27"/>
  <c r="M28" i="27"/>
  <c r="M14" i="27"/>
  <c r="M69" i="27"/>
  <c r="M55" i="27"/>
  <c r="M41" i="27"/>
  <c r="M27" i="27"/>
  <c r="M13" i="27"/>
  <c r="M68" i="27"/>
  <c r="M54" i="27"/>
  <c r="M40" i="27"/>
  <c r="M26" i="27"/>
  <c r="M81" i="27"/>
  <c r="M67" i="27"/>
  <c r="M53" i="27"/>
  <c r="M39" i="27"/>
  <c r="M25" i="27"/>
  <c r="M80" i="27"/>
  <c r="M66" i="27"/>
  <c r="M52" i="27"/>
  <c r="M38" i="27"/>
  <c r="M24" i="27"/>
  <c r="M79" i="27"/>
  <c r="M65" i="27"/>
  <c r="M51" i="27"/>
  <c r="M37" i="27"/>
  <c r="M23" i="27"/>
  <c r="M78" i="27"/>
  <c r="M64" i="27"/>
  <c r="M50" i="27"/>
  <c r="M36" i="27"/>
  <c r="M22" i="27"/>
  <c r="M77" i="27"/>
  <c r="M63" i="27"/>
  <c r="M49" i="27"/>
  <c r="M35" i="27"/>
  <c r="M21" i="27"/>
  <c r="M76" i="27"/>
  <c r="M62" i="27"/>
  <c r="M48" i="27"/>
  <c r="M34" i="27"/>
  <c r="M20" i="27"/>
  <c r="M75" i="27"/>
  <c r="M61" i="27"/>
  <c r="M47" i="27"/>
  <c r="M33" i="27"/>
  <c r="M19" i="27"/>
  <c r="M74" i="27"/>
  <c r="M60" i="27"/>
  <c r="M46" i="27"/>
  <c r="M32" i="27"/>
  <c r="M18" i="27"/>
  <c r="M73" i="27"/>
  <c r="M59" i="27"/>
  <c r="M45" i="27"/>
  <c r="M31" i="27"/>
  <c r="M17" i="27"/>
  <c r="M72" i="27"/>
  <c r="M58" i="27"/>
  <c r="M44" i="27"/>
  <c r="M30" i="27"/>
  <c r="M16" i="27"/>
  <c r="M71" i="27"/>
  <c r="M57" i="27"/>
  <c r="M43" i="27"/>
  <c r="M29" i="27"/>
  <c r="M15" i="27"/>
  <c r="L53" i="27"/>
  <c r="O53" i="27" s="1"/>
  <c r="L40" i="27"/>
  <c r="O40" i="27" s="1"/>
  <c r="P20" i="27"/>
  <c r="I28" i="15" s="1"/>
  <c r="T27" i="27"/>
  <c r="W27" i="27" s="1"/>
  <c r="L20" i="27"/>
  <c r="O20" i="27" s="1"/>
  <c r="N76" i="27"/>
  <c r="T67" i="27"/>
  <c r="W67" i="27" s="1"/>
  <c r="N62" i="27"/>
  <c r="Q60" i="27"/>
  <c r="S60" i="27" s="1"/>
  <c r="T45" i="27"/>
  <c r="W45" i="27" s="1"/>
  <c r="R67" i="27"/>
  <c r="L62" i="27"/>
  <c r="O62" i="27" s="1"/>
  <c r="T48" i="27"/>
  <c r="W48" i="27" s="1"/>
  <c r="N39" i="27"/>
  <c r="P37" i="27"/>
  <c r="P19" i="27"/>
  <c r="I27" i="15" s="1"/>
  <c r="T81" i="27"/>
  <c r="W81" i="27" s="1"/>
  <c r="L80" i="27"/>
  <c r="O80" i="27" s="1"/>
  <c r="P78" i="27"/>
  <c r="L75" i="27"/>
  <c r="O75" i="27" s="1"/>
  <c r="Q73" i="27"/>
  <c r="S73" i="27" s="1"/>
  <c r="T71" i="27"/>
  <c r="W71" i="27" s="1"/>
  <c r="Q68" i="27"/>
  <c r="S68" i="27" s="1"/>
  <c r="T66" i="27"/>
  <c r="W66" i="27" s="1"/>
  <c r="N65" i="27"/>
  <c r="R63" i="27"/>
  <c r="T62" i="27"/>
  <c r="W62" i="27" s="1"/>
  <c r="L61" i="27"/>
  <c r="O61" i="27" s="1"/>
  <c r="R59" i="27"/>
  <c r="L58" i="27"/>
  <c r="O58" i="27" s="1"/>
  <c r="P56" i="27"/>
  <c r="T49" i="27"/>
  <c r="W49" i="27" s="1"/>
  <c r="L48" i="27"/>
  <c r="O48" i="27" s="1"/>
  <c r="Q46" i="27"/>
  <c r="S46" i="27" s="1"/>
  <c r="P43" i="27"/>
  <c r="T41" i="27"/>
  <c r="W41" i="27" s="1"/>
  <c r="N38" i="27"/>
  <c r="T36" i="27"/>
  <c r="W36" i="27" s="1"/>
  <c r="V34" i="27"/>
  <c r="F42" i="15" s="1"/>
  <c r="G42" i="15" s="1"/>
  <c r="V32" i="27"/>
  <c r="F40" i="15" s="1"/>
  <c r="G40" i="15" s="1"/>
  <c r="N31" i="27"/>
  <c r="R29" i="27"/>
  <c r="L26" i="27"/>
  <c r="O26" i="27" s="1"/>
  <c r="P24" i="27"/>
  <c r="I32" i="15" s="1"/>
  <c r="L21" i="27"/>
  <c r="O21" i="27" s="1"/>
  <c r="T19" i="27"/>
  <c r="W19" i="27" s="1"/>
  <c r="Q69" i="27"/>
  <c r="S69" i="27" s="1"/>
  <c r="N47" i="27"/>
  <c r="P30" i="27"/>
  <c r="I38" i="15" s="1"/>
  <c r="L22" i="27"/>
  <c r="O22" i="27" s="1"/>
  <c r="L44" i="27"/>
  <c r="O44" i="27" s="1"/>
  <c r="R28" i="27"/>
  <c r="R81" i="27"/>
  <c r="T76" i="27"/>
  <c r="W76" i="27" s="1"/>
  <c r="P73" i="27"/>
  <c r="R71" i="27"/>
  <c r="L70" i="27"/>
  <c r="O70" i="27" s="1"/>
  <c r="P68" i="27"/>
  <c r="L65" i="27"/>
  <c r="O65" i="27" s="1"/>
  <c r="Q63" i="27"/>
  <c r="S63" i="27" s="1"/>
  <c r="Q59" i="27"/>
  <c r="S59" i="27" s="1"/>
  <c r="T52" i="27"/>
  <c r="W52" i="27" s="1"/>
  <c r="N51" i="27"/>
  <c r="R49" i="27"/>
  <c r="V47" i="27"/>
  <c r="P46" i="27"/>
  <c r="N43" i="27"/>
  <c r="R41" i="27"/>
  <c r="T39" i="27"/>
  <c r="W39" i="27" s="1"/>
  <c r="L38" i="27"/>
  <c r="O38" i="27" s="1"/>
  <c r="T34" i="27"/>
  <c r="W34" i="27" s="1"/>
  <c r="T32" i="27"/>
  <c r="W32" i="27" s="1"/>
  <c r="L31" i="27"/>
  <c r="O31" i="27" s="1"/>
  <c r="Q29" i="27"/>
  <c r="S29" i="27" s="1"/>
  <c r="T22" i="27"/>
  <c r="W22" i="27" s="1"/>
  <c r="Q18" i="27"/>
  <c r="S18" i="27" s="1"/>
  <c r="T79" i="27"/>
  <c r="W79" i="27" s="1"/>
  <c r="N78" i="27"/>
  <c r="R76" i="27"/>
  <c r="Q71" i="27"/>
  <c r="S71" i="27" s="1"/>
  <c r="R66" i="27"/>
  <c r="P63" i="27"/>
  <c r="R62" i="27"/>
  <c r="P59" i="27"/>
  <c r="T57" i="27"/>
  <c r="W57" i="27" s="1"/>
  <c r="N56" i="27"/>
  <c r="Q54" i="27"/>
  <c r="S54" i="27" s="1"/>
  <c r="R52" i="27"/>
  <c r="L51" i="27"/>
  <c r="O51" i="27" s="1"/>
  <c r="Q49" i="27"/>
  <c r="S49" i="27" s="1"/>
  <c r="T47" i="27"/>
  <c r="W47" i="27" s="1"/>
  <c r="N46" i="27"/>
  <c r="T44" i="27"/>
  <c r="W44" i="27" s="1"/>
  <c r="L43" i="27"/>
  <c r="O43" i="27" s="1"/>
  <c r="Q41" i="27"/>
  <c r="S41" i="27" s="1"/>
  <c r="R36" i="27"/>
  <c r="R34" i="27"/>
  <c r="P29" i="27"/>
  <c r="I37" i="15" s="1"/>
  <c r="L18" i="27"/>
  <c r="O18" i="27" s="1"/>
  <c r="L71" i="27"/>
  <c r="O71" i="27" s="1"/>
  <c r="L52" i="27"/>
  <c r="O52" i="27" s="1"/>
  <c r="R37" i="27"/>
  <c r="L32" i="27"/>
  <c r="O32" i="27" s="1"/>
  <c r="R72" i="27"/>
  <c r="T40" i="27"/>
  <c r="W40" i="27" s="1"/>
  <c r="L47" i="27"/>
  <c r="O47" i="27" s="1"/>
  <c r="Q81" i="27"/>
  <c r="S81" i="27" s="1"/>
  <c r="P81" i="27"/>
  <c r="L78" i="27"/>
  <c r="O78" i="27" s="1"/>
  <c r="Q76" i="27"/>
  <c r="S76" i="27" s="1"/>
  <c r="T74" i="27"/>
  <c r="W74" i="27" s="1"/>
  <c r="L73" i="27"/>
  <c r="O73" i="27" s="1"/>
  <c r="P71" i="27"/>
  <c r="L68" i="27"/>
  <c r="O68" i="27" s="1"/>
  <c r="Q66" i="27"/>
  <c r="S66" i="27" s="1"/>
  <c r="T64" i="27"/>
  <c r="W64" i="27" s="1"/>
  <c r="N63" i="27"/>
  <c r="Q62" i="27"/>
  <c r="S62" i="27" s="1"/>
  <c r="L56" i="27"/>
  <c r="O56" i="27" s="1"/>
  <c r="P54" i="27"/>
  <c r="Q52" i="27"/>
  <c r="S52" i="27" s="1"/>
  <c r="P49" i="27"/>
  <c r="R47" i="27"/>
  <c r="L46" i="27"/>
  <c r="O46" i="27" s="1"/>
  <c r="R44" i="27"/>
  <c r="P41" i="27"/>
  <c r="R39" i="27"/>
  <c r="Q36" i="27"/>
  <c r="S36" i="27" s="1"/>
  <c r="Q34" i="27"/>
  <c r="S34" i="27" s="1"/>
  <c r="Q32" i="27"/>
  <c r="S32" i="27" s="1"/>
  <c r="N29" i="27"/>
  <c r="R27" i="27"/>
  <c r="R22" i="27"/>
  <c r="R79" i="27"/>
  <c r="P76" i="27"/>
  <c r="R74" i="27"/>
  <c r="T69" i="27"/>
  <c r="W69" i="27" s="1"/>
  <c r="P66" i="27"/>
  <c r="R64" i="27"/>
  <c r="L63" i="27"/>
  <c r="O63" i="27" s="1"/>
  <c r="P62" i="27"/>
  <c r="T60" i="27"/>
  <c r="W60" i="27" s="1"/>
  <c r="N59" i="27"/>
  <c r="R57" i="27"/>
  <c r="P52" i="27"/>
  <c r="N49" i="27"/>
  <c r="Q47" i="27"/>
  <c r="S47" i="27" s="1"/>
  <c r="Q44" i="27"/>
  <c r="S44" i="27" s="1"/>
  <c r="N41" i="27"/>
  <c r="Q39" i="27"/>
  <c r="S39" i="27" s="1"/>
  <c r="T37" i="27"/>
  <c r="W37" i="27" s="1"/>
  <c r="P36" i="27"/>
  <c r="P34" i="27"/>
  <c r="P32" i="27"/>
  <c r="T30" i="27"/>
  <c r="W30" i="27" s="1"/>
  <c r="L29" i="27"/>
  <c r="O29" i="27" s="1"/>
  <c r="Q27" i="27"/>
  <c r="S27" i="27" s="1"/>
  <c r="R25" i="27"/>
  <c r="Q22" i="27"/>
  <c r="S22" i="27" s="1"/>
  <c r="V19" i="27"/>
  <c r="F27" i="15" s="1"/>
  <c r="G27" i="15" s="1"/>
  <c r="L59" i="27"/>
  <c r="O59" i="27" s="1"/>
  <c r="V55" i="27"/>
  <c r="L54" i="27"/>
  <c r="O54" i="27" s="1"/>
  <c r="N52" i="27"/>
  <c r="L49" i="27"/>
  <c r="O49" i="27" s="1"/>
  <c r="N81" i="27"/>
  <c r="L81" i="27"/>
  <c r="O81" i="27" s="1"/>
  <c r="Q79" i="27"/>
  <c r="S79" i="27" s="1"/>
  <c r="Q74" i="27"/>
  <c r="S74" i="27" s="1"/>
  <c r="T72" i="27"/>
  <c r="W72" i="27" s="1"/>
  <c r="R69" i="27"/>
  <c r="N66" i="27"/>
  <c r="Q64" i="27"/>
  <c r="S64" i="27" s="1"/>
  <c r="R60" i="27"/>
  <c r="Q57" i="27"/>
  <c r="S57" i="27" s="1"/>
  <c r="T50" i="27"/>
  <c r="W50" i="27" s="1"/>
  <c r="P44" i="27"/>
  <c r="T42" i="27"/>
  <c r="W42" i="27" s="1"/>
  <c r="L41" i="27"/>
  <c r="O41" i="27" s="1"/>
  <c r="P39" i="27"/>
  <c r="I47" i="15" s="1"/>
  <c r="N36" i="27"/>
  <c r="N34" i="27"/>
  <c r="N32" i="27"/>
  <c r="R30" i="27"/>
  <c r="P27" i="27"/>
  <c r="I35" i="15" s="1"/>
  <c r="Q25" i="27"/>
  <c r="S25" i="27" s="1"/>
  <c r="P22" i="27"/>
  <c r="I30" i="15" s="1"/>
  <c r="L66" i="27"/>
  <c r="O66" i="27" s="1"/>
  <c r="N27" i="27"/>
  <c r="N74" i="27"/>
  <c r="T53" i="27"/>
  <c r="W53" i="27" s="1"/>
  <c r="Q37" i="27"/>
  <c r="S37" i="27" s="1"/>
  <c r="T28" i="27"/>
  <c r="W28" i="27" s="1"/>
  <c r="T35" i="27"/>
  <c r="W35" i="27" s="1"/>
  <c r="T31" i="27"/>
  <c r="W31" i="27" s="1"/>
  <c r="P79" i="27"/>
  <c r="T80" i="27"/>
  <c r="W80" i="27" s="1"/>
  <c r="N79" i="27"/>
  <c r="R77" i="27"/>
  <c r="L74" i="27"/>
  <c r="O74" i="27" s="1"/>
  <c r="Q72" i="27"/>
  <c r="S72" i="27" s="1"/>
  <c r="Q67" i="27"/>
  <c r="S67" i="27" s="1"/>
  <c r="T65" i="27"/>
  <c r="W65" i="27" s="1"/>
  <c r="N64" i="27"/>
  <c r="N60" i="27"/>
  <c r="T58" i="27"/>
  <c r="W58" i="27" s="1"/>
  <c r="L57" i="27"/>
  <c r="O57" i="27" s="1"/>
  <c r="Q55" i="27"/>
  <c r="S55" i="27" s="1"/>
  <c r="R53" i="27"/>
  <c r="Q50" i="27"/>
  <c r="S50" i="27" s="1"/>
  <c r="R45" i="27"/>
  <c r="T33" i="27"/>
  <c r="W33" i="27" s="1"/>
  <c r="L79" i="27"/>
  <c r="O79" i="27" s="1"/>
  <c r="Q77" i="27"/>
  <c r="S77" i="27" s="1"/>
  <c r="T75" i="27"/>
  <c r="W75" i="27" s="1"/>
  <c r="P72" i="27"/>
  <c r="T70" i="27"/>
  <c r="W70" i="27" s="1"/>
  <c r="P67" i="27"/>
  <c r="L64" i="27"/>
  <c r="O64" i="27" s="1"/>
  <c r="T61" i="27"/>
  <c r="W61" i="27" s="1"/>
  <c r="L60" i="27"/>
  <c r="O60" i="27" s="1"/>
  <c r="R58" i="27"/>
  <c r="P55" i="27"/>
  <c r="Q53" i="27"/>
  <c r="S53" i="27" s="1"/>
  <c r="T51" i="27"/>
  <c r="W51" i="27" s="1"/>
  <c r="P50" i="27"/>
  <c r="R48" i="27"/>
  <c r="Q45" i="27"/>
  <c r="S45" i="27" s="1"/>
  <c r="R40" i="27"/>
  <c r="R35" i="27"/>
  <c r="R33" i="27"/>
  <c r="N30" i="27"/>
  <c r="Q28" i="27"/>
  <c r="S28" i="27" s="1"/>
  <c r="T26" i="27"/>
  <c r="W26" i="27" s="1"/>
  <c r="L25" i="27"/>
  <c r="O25" i="27" s="1"/>
  <c r="Q23" i="27"/>
  <c r="S23" i="27" s="1"/>
  <c r="T21" i="27"/>
  <c r="W21" i="27" s="1"/>
  <c r="V20" i="27"/>
  <c r="F28" i="15" s="1"/>
  <c r="G28" i="15" s="1"/>
  <c r="T73" i="27"/>
  <c r="W73" i="27" s="1"/>
  <c r="T56" i="27"/>
  <c r="W56" i="27" s="1"/>
  <c r="R51" i="27"/>
  <c r="P48" i="27"/>
  <c r="Q31" i="27"/>
  <c r="S31" i="27" s="1"/>
  <c r="V18" i="27"/>
  <c r="F26" i="15" s="1"/>
  <c r="G26" i="15" s="1"/>
  <c r="T18" i="27"/>
  <c r="N75" i="27"/>
  <c r="T54" i="27"/>
  <c r="W54" i="27" s="1"/>
  <c r="R46" i="27"/>
  <c r="Q43" i="27"/>
  <c r="S43" i="27" s="1"/>
  <c r="Q30" i="27"/>
  <c r="S30" i="27" s="1"/>
  <c r="L76" i="27"/>
  <c r="O76" i="27" s="1"/>
  <c r="R80" i="27"/>
  <c r="P77" i="27"/>
  <c r="R75" i="27"/>
  <c r="V73" i="27"/>
  <c r="L69" i="27"/>
  <c r="O69" i="27" s="1"/>
  <c r="N67" i="27"/>
  <c r="R65" i="27"/>
  <c r="R61" i="27"/>
  <c r="Q58" i="27"/>
  <c r="S58" i="27" s="1"/>
  <c r="P53" i="27"/>
  <c r="N50" i="27"/>
  <c r="Q48" i="27"/>
  <c r="S48" i="27" s="1"/>
  <c r="P45" i="27"/>
  <c r="T43" i="27"/>
  <c r="W43" i="27" s="1"/>
  <c r="N42" i="27"/>
  <c r="Q40" i="27"/>
  <c r="S40" i="27" s="1"/>
  <c r="T38" i="27"/>
  <c r="W38" i="27" s="1"/>
  <c r="N37" i="27"/>
  <c r="Q35" i="27"/>
  <c r="S35" i="27" s="1"/>
  <c r="Q33" i="27"/>
  <c r="S33" i="27" s="1"/>
  <c r="R31" i="27"/>
  <c r="L30" i="27"/>
  <c r="O30" i="27" s="1"/>
  <c r="P28" i="27"/>
  <c r="I36" i="15" s="1"/>
  <c r="R26" i="27"/>
  <c r="P23" i="27"/>
  <c r="I31" i="15" s="1"/>
  <c r="R21" i="27"/>
  <c r="T20" i="27"/>
  <c r="W20" i="27" s="1"/>
  <c r="L19" i="27"/>
  <c r="O19" i="27" s="1"/>
  <c r="P40" i="27"/>
  <c r="L37" i="27"/>
  <c r="O37" i="27" s="1"/>
  <c r="P33" i="27"/>
  <c r="Q26" i="27"/>
  <c r="S26" i="27" s="1"/>
  <c r="T24" i="27"/>
  <c r="W24" i="27" s="1"/>
  <c r="Q21" i="27"/>
  <c r="S21" i="27" s="1"/>
  <c r="P21" i="27"/>
  <c r="I29" i="15" s="1"/>
  <c r="Q78" i="27"/>
  <c r="S78" i="27" s="1"/>
  <c r="N58" i="27"/>
  <c r="L45" i="27"/>
  <c r="O45" i="27" s="1"/>
  <c r="L35" i="27"/>
  <c r="O35" i="27" s="1"/>
  <c r="Q24" i="27"/>
  <c r="S24" i="27" s="1"/>
  <c r="P18" i="27"/>
  <c r="I26" i="15" s="1"/>
  <c r="P74" i="27"/>
  <c r="P57" i="27"/>
  <c r="P25" i="27"/>
  <c r="I33" i="15" s="1"/>
  <c r="N57" i="27"/>
  <c r="Q42" i="27"/>
  <c r="S42" i="27" s="1"/>
  <c r="Q80" i="27"/>
  <c r="S80" i="27" s="1"/>
  <c r="T78" i="27"/>
  <c r="W78" i="27" s="1"/>
  <c r="N77" i="27"/>
  <c r="Q75" i="27"/>
  <c r="S75" i="27" s="1"/>
  <c r="R70" i="27"/>
  <c r="L67" i="27"/>
  <c r="O67" i="27" s="1"/>
  <c r="Q65" i="27"/>
  <c r="S65" i="27" s="1"/>
  <c r="Q61" i="27"/>
  <c r="S61" i="27" s="1"/>
  <c r="P58" i="27"/>
  <c r="L55" i="27"/>
  <c r="O55" i="27" s="1"/>
  <c r="L50" i="27"/>
  <c r="O50" i="27" s="1"/>
  <c r="L42" i="27"/>
  <c r="O42" i="27" s="1"/>
  <c r="P35" i="27"/>
  <c r="N80" i="27"/>
  <c r="R68" i="27"/>
  <c r="N61" i="27"/>
  <c r="P51" i="27"/>
  <c r="L33" i="27"/>
  <c r="O33" i="27" s="1"/>
  <c r="T25" i="27"/>
  <c r="W25" i="27" s="1"/>
  <c r="T77" i="27"/>
  <c r="W77" i="27" s="1"/>
  <c r="R42" i="27"/>
  <c r="L34" i="27"/>
  <c r="O34" i="27" s="1"/>
  <c r="T23" i="27"/>
  <c r="W23" i="27" s="1"/>
  <c r="P60" i="27"/>
  <c r="R50" i="27"/>
  <c r="L27" i="27"/>
  <c r="O27" i="27" s="1"/>
  <c r="P42" i="27"/>
  <c r="P80" i="27"/>
  <c r="R78" i="27"/>
  <c r="L77" i="27"/>
  <c r="O77" i="27" s="1"/>
  <c r="P75" i="27"/>
  <c r="L72" i="27"/>
  <c r="O72" i="27" s="1"/>
  <c r="Q70" i="27"/>
  <c r="S70" i="27" s="1"/>
  <c r="T68" i="27"/>
  <c r="W68" i="27" s="1"/>
  <c r="P65" i="27"/>
  <c r="T63" i="27"/>
  <c r="W63" i="27" s="1"/>
  <c r="P61" i="27"/>
  <c r="T59" i="27"/>
  <c r="W59" i="27" s="1"/>
  <c r="R56" i="27"/>
  <c r="V54" i="27"/>
  <c r="N53" i="27"/>
  <c r="Q51" i="27"/>
  <c r="S51" i="27" s="1"/>
  <c r="T46" i="27"/>
  <c r="W46" i="27" s="1"/>
  <c r="N45" i="27"/>
  <c r="N40" i="27"/>
  <c r="Q38" i="27"/>
  <c r="S38" i="27" s="1"/>
  <c r="N35" i="27"/>
  <c r="N33" i="27"/>
  <c r="P31" i="27"/>
  <c r="I39" i="15" s="1"/>
  <c r="T29" i="27"/>
  <c r="W29" i="27" s="1"/>
  <c r="N28" i="27"/>
  <c r="P26" i="27"/>
  <c r="I34" i="15" s="1"/>
  <c r="R24" i="27"/>
  <c r="L23" i="27"/>
  <c r="O23" i="27" s="1"/>
  <c r="Q20" i="27"/>
  <c r="S20" i="27" s="1"/>
  <c r="R73" i="27"/>
  <c r="P70" i="27"/>
  <c r="Q56" i="27"/>
  <c r="S56" i="27" s="1"/>
  <c r="N48" i="27"/>
  <c r="P38" i="27"/>
  <c r="L28" i="27"/>
  <c r="O28" i="27" s="1"/>
  <c r="R32" i="27"/>
  <c r="L24" i="27"/>
  <c r="O24" i="27" s="1"/>
  <c r="P64" i="27"/>
  <c r="T55" i="27"/>
  <c r="W55" i="27" s="1"/>
  <c r="L36" i="27"/>
  <c r="O36" i="27" s="1"/>
  <c r="P69" i="27"/>
  <c r="N44" i="27"/>
  <c r="V33" i="27"/>
  <c r="F41" i="15" s="1"/>
  <c r="G41" i="15" s="1"/>
  <c r="Q19" i="27"/>
  <c r="S19" i="27" s="1"/>
  <c r="L39" i="27"/>
  <c r="O39" i="27" s="1"/>
  <c r="R23" i="27"/>
  <c r="P47" i="27"/>
  <c r="N13" i="27"/>
  <c r="P15" i="27"/>
  <c r="I23" i="15" s="1"/>
  <c r="Q15" i="27"/>
  <c r="S15" i="27" s="1"/>
  <c r="T16" i="27"/>
  <c r="L14" i="27"/>
  <c r="O14" i="27" s="1"/>
  <c r="Q17" i="27"/>
  <c r="S17" i="27" s="1"/>
  <c r="T14" i="27"/>
  <c r="P14" i="27"/>
  <c r="I22" i="15" s="1"/>
  <c r="L17" i="27"/>
  <c r="O17" i="27" s="1"/>
  <c r="P17" i="27"/>
  <c r="I25" i="15" s="1"/>
  <c r="Q14" i="27"/>
  <c r="S14" i="27" s="1"/>
  <c r="T15" i="27"/>
  <c r="L16" i="27"/>
  <c r="O16" i="27" s="1"/>
  <c r="N17" i="27"/>
  <c r="L15" i="27"/>
  <c r="O15" i="27" s="1"/>
  <c r="R17" i="27"/>
  <c r="P16" i="27"/>
  <c r="I24" i="15" s="1"/>
  <c r="Q16" i="27"/>
  <c r="S16" i="27" s="1"/>
  <c r="T17" i="27"/>
  <c r="T13" i="27"/>
  <c r="L13" i="27"/>
  <c r="O13" i="27" s="1"/>
  <c r="P13" i="27"/>
  <c r="Q13" i="27"/>
  <c r="S13" i="27" s="1"/>
  <c r="D126" i="27" l="1"/>
  <c r="E126" i="27" s="1"/>
  <c r="I108" i="27" s="1"/>
  <c r="D125" i="27"/>
  <c r="E125" i="27" s="1"/>
  <c r="I107" i="27" s="1"/>
  <c r="I21" i="15"/>
  <c r="K47" i="27"/>
  <c r="U47" i="27"/>
  <c r="X47" i="27"/>
  <c r="Y47" i="27"/>
  <c r="K73" i="27"/>
  <c r="Y73" i="27"/>
  <c r="W18" i="27"/>
  <c r="M12" i="31" s="1"/>
  <c r="K12" i="31"/>
  <c r="K33" i="27"/>
  <c r="U33" i="27"/>
  <c r="Y33" i="27"/>
  <c r="X33" i="27"/>
  <c r="U32" i="27"/>
  <c r="X32" i="27"/>
  <c r="Y32" i="27"/>
  <c r="K32" i="27"/>
  <c r="K55" i="27"/>
  <c r="Y55" i="27"/>
  <c r="X34" i="27"/>
  <c r="K34" i="27"/>
  <c r="Y34" i="27"/>
  <c r="U34" i="27"/>
  <c r="Y54" i="27"/>
  <c r="K54" i="27"/>
  <c r="K19" i="27"/>
  <c r="H27" i="15" s="1"/>
  <c r="Y19" i="27"/>
  <c r="Y18" i="27"/>
  <c r="K18" i="27"/>
  <c r="H26" i="15" s="1"/>
  <c r="L12" i="31"/>
  <c r="K20" i="27"/>
  <c r="H28" i="15" s="1"/>
  <c r="Y20" i="27"/>
  <c r="K9" i="31"/>
  <c r="K8" i="31"/>
  <c r="K10" i="31"/>
  <c r="K11" i="31"/>
  <c r="E127" i="27"/>
  <c r="I109" i="27" s="1"/>
  <c r="D120" i="27"/>
  <c r="E120" i="27" s="1"/>
  <c r="I102" i="27" s="1"/>
  <c r="D121" i="27"/>
  <c r="E121" i="27" s="1"/>
  <c r="I103" i="27" s="1"/>
  <c r="D124" i="27"/>
  <c r="E124" i="27" s="1"/>
  <c r="I106" i="27" s="1"/>
  <c r="D123" i="27"/>
  <c r="E123" i="27" s="1"/>
  <c r="I105" i="27" s="1"/>
  <c r="D122" i="27"/>
  <c r="E122" i="27" s="1"/>
  <c r="I104" i="27" s="1"/>
  <c r="W17" i="27"/>
  <c r="W16" i="27"/>
  <c r="W13" i="27"/>
  <c r="K7" i="31"/>
  <c r="W15" i="27"/>
  <c r="W14" i="27"/>
  <c r="B14" i="27"/>
  <c r="B15" i="27" s="1"/>
  <c r="B16" i="27" s="1"/>
  <c r="B17" i="27" s="1"/>
  <c r="B18" i="27" s="1"/>
  <c r="B19" i="27" s="1"/>
  <c r="B20" i="27" s="1"/>
  <c r="B21" i="27" l="1"/>
  <c r="B22" i="27" s="1"/>
  <c r="B23" i="27" s="1"/>
  <c r="B24" i="27" s="1"/>
  <c r="B25" i="27" s="1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B45" i="27" s="1"/>
  <c r="B46" i="27" s="1"/>
  <c r="B47" i="27" s="1"/>
  <c r="B48" i="27" s="1"/>
  <c r="B49" i="27" s="1"/>
  <c r="B50" i="27" s="1"/>
  <c r="B51" i="27" s="1"/>
  <c r="B52" i="27" s="1"/>
  <c r="B53" i="27" s="1"/>
  <c r="B54" i="27" s="1"/>
  <c r="B55" i="27" s="1"/>
  <c r="B56" i="27" s="1"/>
  <c r="B57" i="27" s="1"/>
  <c r="B58" i="27" s="1"/>
  <c r="B59" i="27" s="1"/>
  <c r="B60" i="27" s="1"/>
  <c r="B61" i="27" s="1"/>
  <c r="B62" i="27" s="1"/>
  <c r="M8" i="31"/>
  <c r="M9" i="31"/>
  <c r="M10" i="31"/>
  <c r="M11" i="31"/>
  <c r="M7" i="31"/>
  <c r="B63" i="27" l="1"/>
  <c r="B64" i="27" s="1"/>
  <c r="B65" i="27" s="1"/>
  <c r="B66" i="27" s="1"/>
  <c r="B67" i="27" s="1"/>
  <c r="B68" i="27" s="1"/>
  <c r="B69" i="27" s="1"/>
  <c r="B70" i="27" s="1"/>
  <c r="B71" i="27" s="1"/>
  <c r="B72" i="27" s="1"/>
  <c r="B73" i="27" s="1"/>
  <c r="B74" i="27" s="1"/>
  <c r="B75" i="27" s="1"/>
  <c r="B76" i="27" s="1"/>
  <c r="B77" i="27" s="1"/>
  <c r="B78" i="27" s="1"/>
  <c r="B79" i="27" s="1"/>
  <c r="B80" i="27" s="1"/>
  <c r="B81" i="27" s="1"/>
  <c r="B82" i="27" s="1"/>
  <c r="B83" i="27" s="1"/>
  <c r="B84" i="27" s="1"/>
  <c r="B85" i="27" s="1"/>
  <c r="B86" i="27" s="1"/>
  <c r="B87" i="27" s="1"/>
  <c r="B88" i="27" s="1"/>
  <c r="B89" i="27" s="1"/>
  <c r="B90" i="27" s="1"/>
  <c r="B91" i="27" s="1"/>
  <c r="B92" i="27" s="1"/>
  <c r="B93" i="27" s="1"/>
  <c r="B94" i="27" s="1"/>
  <c r="B95" i="27" s="1"/>
  <c r="B96" i="27" s="1"/>
  <c r="B97" i="27" s="1"/>
  <c r="B98" i="27" s="1"/>
  <c r="B99" i="27" s="1"/>
  <c r="W103" i="27"/>
  <c r="Y103" i="27"/>
  <c r="V38" i="27"/>
  <c r="F46" i="15" s="1"/>
  <c r="G46" i="15" s="1"/>
  <c r="V58" i="27" l="1"/>
  <c r="V80" i="27"/>
  <c r="V41" i="27"/>
  <c r="F49" i="15" s="1"/>
  <c r="G49" i="15" s="1"/>
  <c r="V75" i="27"/>
  <c r="K38" i="27"/>
  <c r="H46" i="15" s="1"/>
  <c r="Y38" i="27"/>
  <c r="V74" i="27"/>
  <c r="V40" i="27"/>
  <c r="F48" i="15" s="1"/>
  <c r="G48" i="15" s="1"/>
  <c r="V79" i="27"/>
  <c r="V56" i="27"/>
  <c r="V52" i="27"/>
  <c r="V31" i="27"/>
  <c r="F39" i="15" s="1"/>
  <c r="G39" i="15" s="1"/>
  <c r="V37" i="27"/>
  <c r="F45" i="15" s="1"/>
  <c r="G45" i="15" s="1"/>
  <c r="V62" i="27"/>
  <c r="V65" i="27"/>
  <c r="V50" i="27"/>
  <c r="V81" i="27"/>
  <c r="V76" i="27"/>
  <c r="V42" i="27"/>
  <c r="V59" i="27"/>
  <c r="V46" i="27"/>
  <c r="V61" i="27"/>
  <c r="V36" i="27"/>
  <c r="F44" i="15" s="1"/>
  <c r="G44" i="15" s="1"/>
  <c r="V53" i="27"/>
  <c r="V57" i="27"/>
  <c r="V63" i="27"/>
  <c r="V48" i="27"/>
  <c r="V51" i="27"/>
  <c r="V78" i="27"/>
  <c r="V44" i="27"/>
  <c r="V29" i="27"/>
  <c r="F37" i="15" s="1"/>
  <c r="G37" i="15" s="1"/>
  <c r="V67" i="27"/>
  <c r="N73" i="27"/>
  <c r="N69" i="27"/>
  <c r="N21" i="27"/>
  <c r="N23" i="27"/>
  <c r="N71" i="27"/>
  <c r="N70" i="27"/>
  <c r="N26" i="27"/>
  <c r="N72" i="27"/>
  <c r="N22" i="27"/>
  <c r="N68" i="27"/>
  <c r="N25" i="27"/>
  <c r="N24" i="27"/>
  <c r="N20" i="27"/>
  <c r="N16" i="27"/>
  <c r="N15" i="27"/>
  <c r="N14" i="27"/>
  <c r="V68" i="27"/>
  <c r="V23" i="27"/>
  <c r="F31" i="15" s="1"/>
  <c r="G31" i="15" s="1"/>
  <c r="V70" i="27"/>
  <c r="V24" i="27"/>
  <c r="F32" i="15" s="1"/>
  <c r="G32" i="15" s="1"/>
  <c r="V60" i="27"/>
  <c r="V71" i="27"/>
  <c r="V22" i="27"/>
  <c r="F30" i="15" s="1"/>
  <c r="G30" i="15" s="1"/>
  <c r="V39" i="27"/>
  <c r="F47" i="15" s="1"/>
  <c r="G47" i="15" s="1"/>
  <c r="V69" i="27"/>
  <c r="V35" i="27"/>
  <c r="F43" i="15" s="1"/>
  <c r="G43" i="15" s="1"/>
  <c r="V43" i="27"/>
  <c r="V25" i="27"/>
  <c r="F33" i="15" s="1"/>
  <c r="G33" i="15" s="1"/>
  <c r="V26" i="27"/>
  <c r="F34" i="15" s="1"/>
  <c r="G34" i="15" s="1"/>
  <c r="V72" i="27"/>
  <c r="V21" i="27"/>
  <c r="F29" i="15" s="1"/>
  <c r="G29" i="15" s="1"/>
  <c r="V14" i="27"/>
  <c r="F22" i="15" s="1"/>
  <c r="G22" i="15" s="1"/>
  <c r="B100" i="27"/>
  <c r="B101" i="27" s="1"/>
  <c r="R20" i="27"/>
  <c r="R43" i="27"/>
  <c r="R13" i="27"/>
  <c r="R38" i="27"/>
  <c r="U38" i="27" s="1"/>
  <c r="R14" i="27"/>
  <c r="R16" i="27"/>
  <c r="R15" i="27"/>
  <c r="V109" i="27"/>
  <c r="V13" i="27"/>
  <c r="V16" i="27"/>
  <c r="V17" i="27"/>
  <c r="F25" i="15" s="1"/>
  <c r="G25" i="15" s="1"/>
  <c r="V105" i="27"/>
  <c r="V104" i="27"/>
  <c r="V106" i="27"/>
  <c r="W104" i="27"/>
  <c r="X20" i="27" l="1"/>
  <c r="F24" i="15"/>
  <c r="G24" i="15" s="1"/>
  <c r="K63" i="27"/>
  <c r="Y63" i="27"/>
  <c r="X63" i="27"/>
  <c r="U63" i="27"/>
  <c r="K31" i="27"/>
  <c r="H39" i="15" s="1"/>
  <c r="X31" i="27"/>
  <c r="Y31" i="27"/>
  <c r="U31" i="27"/>
  <c r="R18" i="27"/>
  <c r="R54" i="27"/>
  <c r="Y35" i="27"/>
  <c r="U35" i="27"/>
  <c r="K35" i="27"/>
  <c r="X35" i="27"/>
  <c r="K23" i="27"/>
  <c r="X23" i="27"/>
  <c r="Y23" i="27"/>
  <c r="U23" i="27"/>
  <c r="K57" i="27"/>
  <c r="Y57" i="27"/>
  <c r="U57" i="27"/>
  <c r="X57" i="27"/>
  <c r="K52" i="27"/>
  <c r="U52" i="27"/>
  <c r="Y52" i="27"/>
  <c r="X52" i="27"/>
  <c r="U20" i="27"/>
  <c r="K74" i="27"/>
  <c r="U74" i="27"/>
  <c r="X74" i="27"/>
  <c r="Y74" i="27"/>
  <c r="X73" i="27"/>
  <c r="U73" i="27"/>
  <c r="K42" i="27"/>
  <c r="Y42" i="27"/>
  <c r="U42" i="27"/>
  <c r="X42" i="27"/>
  <c r="Y79" i="27"/>
  <c r="K79" i="27"/>
  <c r="X79" i="27"/>
  <c r="U79" i="27"/>
  <c r="K46" i="27"/>
  <c r="X46" i="27"/>
  <c r="Y46" i="27"/>
  <c r="U46" i="27"/>
  <c r="K22" i="27"/>
  <c r="X22" i="27"/>
  <c r="Y22" i="27"/>
  <c r="U22" i="27"/>
  <c r="K59" i="27"/>
  <c r="U59" i="27"/>
  <c r="X59" i="27"/>
  <c r="Y59" i="27"/>
  <c r="X38" i="27"/>
  <c r="V27" i="27"/>
  <c r="F35" i="15" s="1"/>
  <c r="G35" i="15" s="1"/>
  <c r="V64" i="27"/>
  <c r="V49" i="27"/>
  <c r="K71" i="27"/>
  <c r="Y71" i="27"/>
  <c r="X71" i="27"/>
  <c r="U71" i="27"/>
  <c r="N18" i="27"/>
  <c r="N54" i="27"/>
  <c r="K67" i="27"/>
  <c r="Y67" i="27"/>
  <c r="X67" i="27"/>
  <c r="U67" i="27"/>
  <c r="X76" i="27"/>
  <c r="Y76" i="27"/>
  <c r="U76" i="27"/>
  <c r="K76" i="27"/>
  <c r="K56" i="27"/>
  <c r="Y56" i="27"/>
  <c r="U56" i="27"/>
  <c r="X56" i="27"/>
  <c r="X60" i="27"/>
  <c r="K60" i="27"/>
  <c r="Y60" i="27"/>
  <c r="U60" i="27"/>
  <c r="K29" i="27"/>
  <c r="H37" i="15" s="1"/>
  <c r="Y29" i="27"/>
  <c r="U29" i="27"/>
  <c r="X29" i="27"/>
  <c r="Y81" i="27"/>
  <c r="K81" i="27"/>
  <c r="U81" i="27"/>
  <c r="X81" i="27"/>
  <c r="K70" i="27"/>
  <c r="Y70" i="27"/>
  <c r="X70" i="27"/>
  <c r="U70" i="27"/>
  <c r="R19" i="27"/>
  <c r="R55" i="27"/>
  <c r="V30" i="27"/>
  <c r="F38" i="15" s="1"/>
  <c r="G38" i="15" s="1"/>
  <c r="V45" i="27"/>
  <c r="N19" i="27"/>
  <c r="N55" i="27"/>
  <c r="X69" i="27"/>
  <c r="U69" i="27"/>
  <c r="K69" i="27"/>
  <c r="Y69" i="27"/>
  <c r="K61" i="27"/>
  <c r="Y61" i="27"/>
  <c r="U61" i="27"/>
  <c r="X61" i="27"/>
  <c r="K24" i="27"/>
  <c r="Y24" i="27"/>
  <c r="U24" i="27"/>
  <c r="X24" i="27"/>
  <c r="K44" i="27"/>
  <c r="X44" i="27"/>
  <c r="Y44" i="27"/>
  <c r="U44" i="27"/>
  <c r="Y50" i="27"/>
  <c r="U50" i="27"/>
  <c r="K50" i="27"/>
  <c r="X50" i="27"/>
  <c r="K75" i="27"/>
  <c r="Y75" i="27"/>
  <c r="X75" i="27"/>
  <c r="U75" i="27"/>
  <c r="K43" i="27"/>
  <c r="Y43" i="27"/>
  <c r="U43" i="27"/>
  <c r="X43" i="27"/>
  <c r="K68" i="27"/>
  <c r="Y68" i="27"/>
  <c r="X68" i="27"/>
  <c r="U68" i="27"/>
  <c r="X39" i="27"/>
  <c r="K39" i="27"/>
  <c r="Y39" i="27"/>
  <c r="U39" i="27"/>
  <c r="K72" i="27"/>
  <c r="X72" i="27"/>
  <c r="U72" i="27"/>
  <c r="Y72" i="27"/>
  <c r="K78" i="27"/>
  <c r="Y78" i="27"/>
  <c r="X78" i="27"/>
  <c r="U78" i="27"/>
  <c r="Y65" i="27"/>
  <c r="X65" i="27"/>
  <c r="U65" i="27"/>
  <c r="K65" i="27"/>
  <c r="X41" i="27"/>
  <c r="K41" i="27"/>
  <c r="H49" i="15" s="1"/>
  <c r="Y41" i="27"/>
  <c r="U41" i="27"/>
  <c r="Y40" i="27"/>
  <c r="U40" i="27"/>
  <c r="K40" i="27"/>
  <c r="H48" i="15" s="1"/>
  <c r="X40" i="27"/>
  <c r="V28" i="27"/>
  <c r="F36" i="15" s="1"/>
  <c r="G36" i="15" s="1"/>
  <c r="V77" i="27"/>
  <c r="V66" i="27"/>
  <c r="K51" i="27"/>
  <c r="X51" i="27"/>
  <c r="Y51" i="27"/>
  <c r="U51" i="27"/>
  <c r="Y62" i="27"/>
  <c r="U62" i="27"/>
  <c r="K62" i="27"/>
  <c r="X62" i="27"/>
  <c r="U80" i="27"/>
  <c r="Y80" i="27"/>
  <c r="K80" i="27"/>
  <c r="X80" i="27"/>
  <c r="X53" i="27"/>
  <c r="K53" i="27"/>
  <c r="Y53" i="27"/>
  <c r="U53" i="27"/>
  <c r="U36" i="27"/>
  <c r="K36" i="27"/>
  <c r="X36" i="27"/>
  <c r="Y36" i="27"/>
  <c r="K21" i="27"/>
  <c r="X21" i="27"/>
  <c r="U21" i="27"/>
  <c r="Y21" i="27"/>
  <c r="Y26" i="27"/>
  <c r="U26" i="27"/>
  <c r="K26" i="27"/>
  <c r="X26" i="27"/>
  <c r="X25" i="27"/>
  <c r="Y25" i="27"/>
  <c r="U25" i="27"/>
  <c r="K25" i="27"/>
  <c r="Y48" i="27"/>
  <c r="U48" i="27"/>
  <c r="X48" i="27"/>
  <c r="K48" i="27"/>
  <c r="K37" i="27"/>
  <c r="Y37" i="27"/>
  <c r="U37" i="27"/>
  <c r="X37" i="27"/>
  <c r="X58" i="27"/>
  <c r="U58" i="27"/>
  <c r="K58" i="27"/>
  <c r="Y58" i="27"/>
  <c r="G23" i="2"/>
  <c r="L11" i="31"/>
  <c r="U14" i="27"/>
  <c r="B102" i="27"/>
  <c r="B103" i="27" s="1"/>
  <c r="B104" i="27" s="1"/>
  <c r="B105" i="27" s="1"/>
  <c r="B106" i="27" s="1"/>
  <c r="B107" i="27" s="1"/>
  <c r="B108" i="27" s="1"/>
  <c r="B109" i="27" s="1"/>
  <c r="N12" i="31"/>
  <c r="V15" i="27"/>
  <c r="F23" i="15" s="1"/>
  <c r="G23" i="15" s="1"/>
  <c r="Y14" i="27"/>
  <c r="X14" i="27"/>
  <c r="K14" i="27"/>
  <c r="H22" i="15" s="1"/>
  <c r="F20" i="2"/>
  <c r="L8" i="31"/>
  <c r="L7" i="31"/>
  <c r="F21" i="15"/>
  <c r="G21" i="15" s="1"/>
  <c r="L10" i="31"/>
  <c r="K17" i="27"/>
  <c r="H25" i="15" s="1"/>
  <c r="X13" i="27"/>
  <c r="Y13" i="27"/>
  <c r="K13" i="27"/>
  <c r="H21" i="15" s="1"/>
  <c r="U13" i="27"/>
  <c r="U17" i="27"/>
  <c r="Y17" i="27"/>
  <c r="X17" i="27"/>
  <c r="Y16" i="27"/>
  <c r="U16" i="27"/>
  <c r="X16" i="27"/>
  <c r="K16" i="27"/>
  <c r="H24" i="15" s="1"/>
  <c r="Y104" i="27"/>
  <c r="Y102" i="27"/>
  <c r="W102" i="27"/>
  <c r="X19" i="27" l="1"/>
  <c r="G53" i="15"/>
  <c r="B18" i="15" s="1"/>
  <c r="X55" i="27"/>
  <c r="U54" i="27"/>
  <c r="K28" i="27"/>
  <c r="H36" i="15" s="1"/>
  <c r="Y28" i="27"/>
  <c r="U28" i="27"/>
  <c r="X28" i="27"/>
  <c r="K64" i="27"/>
  <c r="Y64" i="27"/>
  <c r="X64" i="27"/>
  <c r="U64" i="27"/>
  <c r="K45" i="27"/>
  <c r="X45" i="27"/>
  <c r="Y45" i="27"/>
  <c r="U45" i="27"/>
  <c r="X54" i="27"/>
  <c r="U55" i="27"/>
  <c r="U19" i="27"/>
  <c r="X18" i="27"/>
  <c r="U18" i="27"/>
  <c r="X27" i="27"/>
  <c r="K27" i="27"/>
  <c r="H35" i="15" s="1"/>
  <c r="Y27" i="27"/>
  <c r="U27" i="27"/>
  <c r="F23" i="2"/>
  <c r="X30" i="27"/>
  <c r="Y30" i="27"/>
  <c r="U30" i="27"/>
  <c r="K30" i="27"/>
  <c r="H38" i="15" s="1"/>
  <c r="K66" i="27"/>
  <c r="Y66" i="27"/>
  <c r="X66" i="27"/>
  <c r="U66" i="27"/>
  <c r="K77" i="27"/>
  <c r="Y77" i="27"/>
  <c r="X77" i="27"/>
  <c r="U77" i="27"/>
  <c r="X49" i="27"/>
  <c r="K49" i="27"/>
  <c r="Y49" i="27"/>
  <c r="U49" i="27"/>
  <c r="N11" i="31"/>
  <c r="L9" i="31"/>
  <c r="N7" i="31"/>
  <c r="N8" i="31"/>
  <c r="N10" i="31"/>
  <c r="Y15" i="27"/>
  <c r="K15" i="27"/>
  <c r="H23" i="15" s="1"/>
  <c r="X15" i="27"/>
  <c r="U15" i="27"/>
  <c r="G20" i="2"/>
  <c r="F19" i="2"/>
  <c r="F22" i="2"/>
  <c r="G22" i="2"/>
  <c r="G19" i="2"/>
  <c r="N9" i="31" l="1"/>
  <c r="F21" i="2"/>
  <c r="G21" i="2"/>
  <c r="X111" i="27"/>
  <c r="W111" i="27"/>
  <c r="Y119" i="27" l="1"/>
  <c r="N22" i="31" s="1"/>
  <c r="M14" i="31"/>
  <c r="T114" i="27"/>
  <c r="Y111" i="27"/>
  <c r="K17" i="31" l="1"/>
  <c r="Y117" i="27"/>
  <c r="N14" i="31"/>
  <c r="Y121" i="27" l="1"/>
  <c r="N24" i="31" s="1"/>
  <c r="N20" i="31"/>
  <c r="G26" i="2"/>
  <c r="Y123" i="27" l="1"/>
  <c r="N26" i="31" s="1"/>
  <c r="C17" i="2"/>
  <c r="B18" i="2"/>
  <c r="C18" i="2"/>
  <c r="D18" i="2"/>
  <c r="E18" i="2"/>
  <c r="F18" i="2"/>
  <c r="G18" i="2"/>
  <c r="H18" i="2"/>
  <c r="A18" i="2"/>
  <c r="A22" i="15" l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L13" i="2" l="1"/>
  <c r="A20" i="2" l="1"/>
  <c r="A21" i="2" s="1"/>
  <c r="A22" i="2" s="1"/>
  <c r="A23" i="2" s="1"/>
  <c r="A26" i="2" s="1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<sst xmlns="http://schemas.openxmlformats.org/spreadsheetml/2006/main" count="192" uniqueCount="147">
  <si>
    <t>발주접수</t>
    <phoneticPr fontId="2" type="noConversion"/>
  </si>
  <si>
    <t>발주의뢰</t>
    <phoneticPr fontId="2" type="noConversion"/>
  </si>
  <si>
    <t>발주의뢰처</t>
    <phoneticPr fontId="2" type="noConversion"/>
  </si>
  <si>
    <t>발주수신처</t>
    <phoneticPr fontId="2" type="noConversion"/>
  </si>
  <si>
    <t>납품희망일</t>
    <phoneticPr fontId="2" type="noConversion"/>
  </si>
  <si>
    <t>현장명</t>
    <phoneticPr fontId="2" type="noConversion"/>
  </si>
  <si>
    <t>납 품 장 소</t>
    <phoneticPr fontId="2" type="noConversion"/>
  </si>
  <si>
    <t>현장요청사항</t>
    <phoneticPr fontId="2" type="noConversion"/>
  </si>
  <si>
    <t>납품처</t>
    <phoneticPr fontId="2" type="noConversion"/>
  </si>
  <si>
    <t>NOTE</t>
    <phoneticPr fontId="2" type="noConversion"/>
  </si>
  <si>
    <t xml:space="preserve">발주 후 </t>
    <phoneticPr fontId="2" type="noConversion"/>
  </si>
  <si>
    <t>1. 수주현황 에 입력</t>
    <phoneticPr fontId="2" type="noConversion"/>
  </si>
  <si>
    <t>2. 프로화이어에 접수 유무를 확인</t>
    <phoneticPr fontId="2" type="noConversion"/>
  </si>
  <si>
    <t>3. 거래처에 접수 현황 알림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</si>
  <si>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</si>
  <si>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</si>
  <si>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</si>
  <si>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번호</t>
    <phoneticPr fontId="2" type="noConversion"/>
  </si>
  <si>
    <t>계</t>
    <phoneticPr fontId="2" type="noConversion"/>
  </si>
  <si>
    <t>금액</t>
    <phoneticPr fontId="2" type="noConversion"/>
  </si>
  <si>
    <r>
      <t xml:space="preserve">탑 디뉴스 </t>
    </r>
    <r>
      <rPr>
        <b/>
        <sz val="14"/>
        <color theme="1"/>
        <rFont val="맑은 고딕"/>
        <family val="3"/>
        <charset val="129"/>
      </rPr>
      <t xml:space="preserve">( </t>
    </r>
    <r>
      <rPr>
        <b/>
        <sz val="14"/>
        <color rgb="FFFF0000"/>
        <rFont val="맑은 고딕"/>
        <family val="3"/>
        <charset val="129"/>
      </rPr>
      <t>T</t>
    </r>
    <r>
      <rPr>
        <b/>
        <sz val="14"/>
        <color theme="1"/>
        <rFont val="맑은 고딕"/>
        <family val="3"/>
        <charset val="129"/>
      </rPr>
      <t xml:space="preserve">otal </t>
    </r>
    <r>
      <rPr>
        <b/>
        <sz val="14"/>
        <color rgb="FFFF0000"/>
        <rFont val="맑은 고딕"/>
        <family val="3"/>
        <charset val="129"/>
      </rPr>
      <t>O</t>
    </r>
    <r>
      <rPr>
        <b/>
        <sz val="14"/>
        <color theme="1"/>
        <rFont val="맑은 고딕"/>
        <family val="3"/>
        <charset val="129"/>
      </rPr>
      <t>f fire</t>
    </r>
    <r>
      <rPr>
        <b/>
        <sz val="14"/>
        <color rgb="FFFF0000"/>
        <rFont val="맑은 고딕"/>
        <family val="3"/>
        <charset val="129"/>
      </rPr>
      <t>P</t>
    </r>
    <r>
      <rPr>
        <b/>
        <sz val="14"/>
        <color theme="1"/>
        <rFont val="맑은 고딕"/>
        <family val="3"/>
        <charset val="129"/>
      </rPr>
      <t>roof Material )</t>
    </r>
    <phoneticPr fontId="2" type="noConversion"/>
  </si>
  <si>
    <t>귀중</t>
    <phoneticPr fontId="2" type="noConversion"/>
  </si>
  <si>
    <t>주식회사 탑디뉴스 대표 이민수</t>
    <phoneticPr fontId="2" type="noConversion"/>
  </si>
  <si>
    <t>단가</t>
    <phoneticPr fontId="2" type="noConversion"/>
  </si>
  <si>
    <t>t) 010-8884-4742 f) 031-8056-9544</t>
    <phoneticPr fontId="2" type="noConversion"/>
  </si>
  <si>
    <t>e-mail) profire7006@hanmail.net</t>
    <phoneticPr fontId="2" type="noConversion"/>
  </si>
  <si>
    <t>[ 납품금액 ]</t>
    <phoneticPr fontId="2" type="noConversion"/>
  </si>
  <si>
    <t>부가세 별도</t>
    <phoneticPr fontId="2" type="noConversion"/>
  </si>
  <si>
    <t>비고</t>
    <phoneticPr fontId="2" type="noConversion"/>
  </si>
  <si>
    <t>거 래 명 세 서</t>
    <phoneticPr fontId="2" type="noConversion"/>
  </si>
  <si>
    <t>경기도 화성시 동탄대로 636-3, C동 1206호</t>
    <phoneticPr fontId="2" type="noConversion"/>
  </si>
  <si>
    <t>납품번호</t>
    <phoneticPr fontId="2" type="noConversion"/>
  </si>
  <si>
    <t>납품일자</t>
    <phoneticPr fontId="2" type="noConversion"/>
  </si>
  <si>
    <t>현 장 명</t>
    <phoneticPr fontId="2" type="noConversion"/>
  </si>
  <si>
    <t xml:space="preserve">                   </t>
    <phoneticPr fontId="2" type="noConversion"/>
  </si>
  <si>
    <t>인수자</t>
    <phoneticPr fontId="2" type="noConversion"/>
  </si>
  <si>
    <t>운임비</t>
    <phoneticPr fontId="2" type="noConversion"/>
  </si>
  <si>
    <t>고정구 견적서 단가 산출</t>
    <phoneticPr fontId="2" type="noConversion"/>
  </si>
  <si>
    <t>슬리브</t>
    <phoneticPr fontId="2" type="noConversion"/>
  </si>
  <si>
    <t>슬리브</t>
    <phoneticPr fontId="27" type="noConversion"/>
  </si>
  <si>
    <t xml:space="preserve"> 단가</t>
    <phoneticPr fontId="2" type="noConversion"/>
  </si>
  <si>
    <t>배관</t>
    <phoneticPr fontId="2" type="noConversion"/>
  </si>
  <si>
    <t>판매가</t>
    <phoneticPr fontId="2" type="noConversion"/>
  </si>
  <si>
    <t>1 납품소요기간(발주서 접수후 1~2주일), 주문량에 따라 변경 될 수 있음</t>
    <phoneticPr fontId="2" type="noConversion"/>
  </si>
  <si>
    <t>품목</t>
    <phoneticPr fontId="2" type="noConversion"/>
  </si>
  <si>
    <t>검색 품명</t>
    <phoneticPr fontId="2" type="noConversion"/>
  </si>
  <si>
    <t>견적서 금액 합계</t>
    <phoneticPr fontId="2" type="noConversion"/>
  </si>
  <si>
    <t>제조사</t>
    <phoneticPr fontId="2" type="noConversion"/>
  </si>
  <si>
    <t>필립산업</t>
    <phoneticPr fontId="2" type="noConversion"/>
  </si>
  <si>
    <t>연한 노란색 부분은 수기로 입력 바랍니다.</t>
    <phoneticPr fontId="2" type="noConversion"/>
  </si>
  <si>
    <t>연한 주황색 부분은 자동 산출 됩니다.</t>
    <phoneticPr fontId="2" type="noConversion"/>
  </si>
  <si>
    <t>적요</t>
    <phoneticPr fontId="2" type="noConversion"/>
  </si>
  <si>
    <t>격적서 품명</t>
    <phoneticPr fontId="2" type="noConversion"/>
  </si>
  <si>
    <t xml:space="preserve"> </t>
    <phoneticPr fontId="2" type="noConversion"/>
  </si>
  <si>
    <t>차열재 길이</t>
  </si>
  <si>
    <t>총 차열재 길이</t>
    <phoneticPr fontId="2" type="noConversion"/>
  </si>
  <si>
    <t>차열재 품목</t>
    <phoneticPr fontId="2" type="noConversion"/>
  </si>
  <si>
    <t>차열재 및 실란트 산출</t>
    <phoneticPr fontId="2" type="noConversion"/>
  </si>
  <si>
    <t>계산식</t>
    <phoneticPr fontId="2" type="noConversion"/>
  </si>
  <si>
    <t>총 실란트</t>
    <phoneticPr fontId="2" type="noConversion"/>
  </si>
  <si>
    <t>롤</t>
    <phoneticPr fontId="2" type="noConversion"/>
  </si>
  <si>
    <t>개소</t>
  </si>
  <si>
    <t>차열재 25T*200*7200</t>
    <phoneticPr fontId="2" type="noConversion"/>
  </si>
  <si>
    <t>차열재 38T*400*4800</t>
    <phoneticPr fontId="2" type="noConversion"/>
  </si>
  <si>
    <t>차열재 38T*600*4800</t>
  </si>
  <si>
    <t>차열재 38T*600*4800</t>
    <phoneticPr fontId="2" type="noConversion"/>
  </si>
  <si>
    <t>총 길이</t>
    <phoneticPr fontId="2" type="noConversion"/>
  </si>
  <si>
    <t>실란트 300ml/통</t>
    <phoneticPr fontId="2" type="noConversion"/>
  </si>
  <si>
    <t>총 개수</t>
    <phoneticPr fontId="2" type="noConversion"/>
  </si>
  <si>
    <t>실란트 용량</t>
    <phoneticPr fontId="2" type="noConversion"/>
  </si>
  <si>
    <t>매출</t>
    <phoneticPr fontId="2" type="noConversion"/>
  </si>
  <si>
    <t>매입</t>
    <phoneticPr fontId="2" type="noConversion"/>
  </si>
  <si>
    <t>순이익</t>
    <phoneticPr fontId="2" type="noConversion"/>
  </si>
  <si>
    <t>차열재 가격</t>
    <phoneticPr fontId="2" type="noConversion"/>
  </si>
  <si>
    <t>실란트 가격</t>
    <phoneticPr fontId="2" type="noConversion"/>
  </si>
  <si>
    <t>일위대가표</t>
    <phoneticPr fontId="2" type="noConversion"/>
  </si>
  <si>
    <t>일위대가표 금액</t>
    <phoneticPr fontId="2" type="noConversion"/>
  </si>
  <si>
    <t>단가 기준 금액</t>
    <phoneticPr fontId="2" type="noConversion"/>
  </si>
  <si>
    <t>인수자 연락처</t>
    <phoneticPr fontId="2" type="noConversion"/>
  </si>
  <si>
    <t>현장주소</t>
  </si>
  <si>
    <t>주 소</t>
    <phoneticPr fontId="2" type="noConversion"/>
  </si>
  <si>
    <t>차열재 25T*400*7200</t>
  </si>
  <si>
    <t>차열재 25T*400*7200</t>
    <phoneticPr fontId="2" type="noConversion"/>
  </si>
  <si>
    <t>차열재 38T*200*4800</t>
  </si>
  <si>
    <t>차열재 38T*200*4800</t>
    <phoneticPr fontId="2" type="noConversion"/>
  </si>
  <si>
    <t>차열재 38T*400*4800</t>
  </si>
  <si>
    <t>차열재 25T*200*7200</t>
  </si>
  <si>
    <t>벽체_강관</t>
  </si>
  <si>
    <t>50A</t>
  </si>
  <si>
    <t>초록색 부분은 단가표 검색을 위한 부분입니다. 
드롭다운으로 구성되어 있습니다.
1. 품명에 맞게 드롭다운에서 선택을 합니다.</t>
    <phoneticPr fontId="2" type="noConversion"/>
  </si>
  <si>
    <t>견        적        서</t>
    <phoneticPr fontId="2" type="noConversion"/>
  </si>
  <si>
    <r>
      <t xml:space="preserve">하기와 같이 </t>
    </r>
    <r>
      <rPr>
        <b/>
        <sz val="11"/>
        <color rgb="FFFF0000"/>
        <rFont val="맑은 고딕"/>
        <family val="3"/>
        <charset val="129"/>
      </rPr>
      <t>필립산업</t>
    </r>
    <r>
      <rPr>
        <b/>
        <sz val="11"/>
        <color theme="1"/>
        <rFont val="맑은 고딕"/>
        <family val="3"/>
        <charset val="129"/>
      </rPr>
      <t xml:space="preserve"> 배관을 견적합니다.</t>
    </r>
    <phoneticPr fontId="2" type="noConversion"/>
  </si>
  <si>
    <t>2.결재조건 : 협의</t>
    <phoneticPr fontId="2" type="noConversion"/>
  </si>
  <si>
    <t>3. 차열재 수량을 확인후 발주 - 반품 불가</t>
    <phoneticPr fontId="2" type="noConversion"/>
  </si>
  <si>
    <t>4. 인정제품은 반품이 불가하므로 확인후 발주 요함</t>
    <phoneticPr fontId="2" type="noConversion"/>
  </si>
  <si>
    <t>5. 대구경 인정서는 일체형 시공이 불가능하므로, 고정틀과 내화채움재를 각각 별도로 발주해 주시기 바랍니다.</t>
    <phoneticPr fontId="2" type="noConversion"/>
  </si>
  <si>
    <t>이익률</t>
    <phoneticPr fontId="2" type="noConversion"/>
  </si>
  <si>
    <t>자 재 발 주 서 (고정구)</t>
    <phoneticPr fontId="27" type="noConversion"/>
  </si>
  <si>
    <t>발주일자 :</t>
    <phoneticPr fontId="27" type="noConversion"/>
  </si>
  <si>
    <t xml:space="preserve">납품요청일 : </t>
    <phoneticPr fontId="27" type="noConversion"/>
  </si>
  <si>
    <t>발 주 처</t>
  </si>
  <si>
    <t>탑디뉴스</t>
    <phoneticPr fontId="27" type="noConversion"/>
  </si>
  <si>
    <t>수 신 처</t>
  </si>
  <si>
    <t>필립산업㈜</t>
    <phoneticPr fontId="27" type="noConversion"/>
  </si>
  <si>
    <t>TEL</t>
    <phoneticPr fontId="27" type="noConversion"/>
  </si>
  <si>
    <t>010-9308-5358</t>
    <phoneticPr fontId="27" type="noConversion"/>
  </si>
  <si>
    <t>031-592-6960</t>
    <phoneticPr fontId="27" type="noConversion"/>
  </si>
  <si>
    <t>FAX</t>
    <phoneticPr fontId="27" type="noConversion"/>
  </si>
  <si>
    <t>031-8056-9544</t>
    <phoneticPr fontId="27" type="noConversion"/>
  </si>
  <si>
    <t>031-592-0953</t>
    <phoneticPr fontId="27" type="noConversion"/>
  </si>
  <si>
    <t>E-mail</t>
    <phoneticPr fontId="27" type="noConversion"/>
  </si>
  <si>
    <t>pl3077@naver.com</t>
    <phoneticPr fontId="27" type="noConversion"/>
  </si>
  <si>
    <t xml:space="preserve">필수기재사항 </t>
    <phoneticPr fontId="27" type="noConversion"/>
  </si>
  <si>
    <t>현 장 명</t>
  </si>
  <si>
    <t>담당자</t>
    <phoneticPr fontId="27" type="noConversion"/>
  </si>
  <si>
    <t>연락처</t>
    <phoneticPr fontId="27" type="noConversion"/>
  </si>
  <si>
    <t>품 명</t>
  </si>
  <si>
    <t>배관</t>
    <phoneticPr fontId="27" type="noConversion"/>
  </si>
  <si>
    <t>단위</t>
    <phoneticPr fontId="27" type="noConversion"/>
  </si>
  <si>
    <t>수량</t>
    <phoneticPr fontId="27" type="noConversion"/>
  </si>
  <si>
    <t>비 고</t>
  </si>
  <si>
    <t>합  계</t>
    <phoneticPr fontId="27" type="noConversion"/>
  </si>
  <si>
    <t>롤</t>
  </si>
  <si>
    <t>남품장소 예시</t>
  </si>
  <si>
    <t>주소 예시</t>
  </si>
  <si>
    <t>인수자 예시</t>
  </si>
  <si>
    <t>연락처 예시</t>
  </si>
  <si>
    <t>요청사항 예시</t>
  </si>
  <si>
    <t>내화채움구조(벽체,강관용)</t>
  </si>
  <si>
    <t>차열재 개수</t>
    <phoneticPr fontId="2" type="noConversion"/>
  </si>
  <si>
    <t>예시용</t>
  </si>
  <si>
    <t>현장명 예시</t>
  </si>
  <si>
    <t>납품처 예시</t>
  </si>
  <si>
    <r>
      <t xml:space="preserve">탑 디뉴스 </t>
    </r>
    <r>
      <rPr>
        <b/>
        <sz val="14"/>
        <color theme="1"/>
        <rFont val="맑은 고딕"/>
        <family val="3"/>
        <charset val="129"/>
        <scheme val="major"/>
      </rPr>
      <t xml:space="preserve">( </t>
    </r>
    <r>
      <rPr>
        <b/>
        <sz val="14"/>
        <color rgb="FFFF0000"/>
        <rFont val="맑은 고딕"/>
        <family val="3"/>
        <charset val="129"/>
        <scheme val="major"/>
      </rPr>
      <t>T</t>
    </r>
    <r>
      <rPr>
        <b/>
        <sz val="14"/>
        <color theme="1"/>
        <rFont val="맑은 고딕"/>
        <family val="3"/>
        <charset val="129"/>
        <scheme val="major"/>
      </rPr>
      <t xml:space="preserve">otal </t>
    </r>
    <r>
      <rPr>
        <b/>
        <sz val="14"/>
        <color rgb="FFFF0000"/>
        <rFont val="맑은 고딕"/>
        <family val="3"/>
        <charset val="129"/>
        <scheme val="major"/>
      </rPr>
      <t>O</t>
    </r>
    <r>
      <rPr>
        <b/>
        <sz val="14"/>
        <color theme="1"/>
        <rFont val="맑은 고딕"/>
        <family val="3"/>
        <charset val="129"/>
        <scheme val="major"/>
      </rPr>
      <t>f fire</t>
    </r>
    <r>
      <rPr>
        <b/>
        <sz val="14"/>
        <color rgb="FFFF0000"/>
        <rFont val="맑은 고딕"/>
        <family val="3"/>
        <charset val="129"/>
        <scheme val="major"/>
      </rPr>
      <t>P</t>
    </r>
    <r>
      <rPr>
        <b/>
        <sz val="14"/>
        <color theme="1"/>
        <rFont val="맑은 고딕"/>
        <family val="3"/>
        <charset val="129"/>
        <scheme val="major"/>
      </rPr>
      <t>roof Material )</t>
    </r>
    <phoneticPr fontId="2" type="noConversion"/>
  </si>
  <si>
    <t>e-mail) topdi@topdignus.co.kr</t>
    <phoneticPr fontId="2" type="noConversion"/>
  </si>
  <si>
    <t>견 적 번 호</t>
    <phoneticPr fontId="2" type="noConversion"/>
  </si>
  <si>
    <t>견 적 일 자</t>
    <phoneticPr fontId="2" type="noConversion"/>
  </si>
  <si>
    <t>현  장  명</t>
    <phoneticPr fontId="2" type="noConversion"/>
  </si>
  <si>
    <t>품         목</t>
    <phoneticPr fontId="2" type="noConversion"/>
  </si>
  <si>
    <t>규격
(배관 * 슬리브)</t>
    <phoneticPr fontId="2" type="noConversion"/>
  </si>
  <si>
    <t>차열재</t>
    <phoneticPr fontId="2" type="noConversion"/>
  </si>
  <si>
    <t>차열재 50T*200*3600</t>
    <phoneticPr fontId="2" type="noConversion"/>
  </si>
  <si>
    <t>차열재 50T*400*3600</t>
    <phoneticPr fontId="2" type="noConversion"/>
  </si>
  <si>
    <t>벽체_강관_15A</t>
  </si>
  <si>
    <t>15*25</t>
    <phoneticPr fontId="2" type="noConversion"/>
  </si>
  <si>
    <t>견적서 품명</t>
    <phoneticPr fontId="2" type="noConversion"/>
  </si>
  <si>
    <t>topdi@topdignus.co.kr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</si>
</sst>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-* #,##0_-;\-* #,##0_-;_-* &quot;-&quot;_-;_-@_-"/>
    <numFmt numFmtId="177" formatCode="yyyy&quot;년&quot;\ m&quot;월&quot;\ d&quot;일&quot;;@"/>
    <numFmt numFmtId="178" formatCode="[$-F800]dddd\,\ mmmm\ dd\,\ yyyy"/>
    <numFmt numFmtId="180" formatCode="0.0_ "/>
    <numFmt numFmtId="181" formatCode="0_);[Red]\(0\)"/>
    <numFmt numFmtId="182" formatCode="0_);\(0\)"/>
    <numFmt numFmtId="183" formatCode="#,##0_ "/>
    <numFmt numFmtId="184" formatCode="mm&quot;월&quot;\ dd&quot;일&quot;"/>
    <numFmt numFmtId="185" formatCode="0.000_);[Red]\(0.000\)"/>
  </numFmts>
  <fonts count="7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</font>
    <font>
      <b/>
      <sz val="14"/>
      <color theme="1"/>
      <name val="문체부 바탕체"/>
      <family val="1"/>
      <charset val="129"/>
    </font>
    <font>
      <b/>
      <u/>
      <sz val="14"/>
      <color theme="1"/>
      <name val="맑은 고딕"/>
      <family val="3"/>
      <charset val="129"/>
    </font>
    <font>
      <sz val="14"/>
      <color theme="1"/>
      <name val="문체부 바탕체"/>
      <family val="1"/>
      <charset val="129"/>
    </font>
    <font>
      <b/>
      <sz val="18"/>
      <color theme="1"/>
      <name val="문체부 바탕체"/>
      <family val="1"/>
      <charset val="129"/>
    </font>
    <font>
      <b/>
      <sz val="12"/>
      <color theme="1"/>
      <name val="문체부 바탕체"/>
      <family val="1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문체부 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문체부 바탕체"/>
      <family val="1"/>
      <charset val="129"/>
    </font>
    <font>
      <sz val="11"/>
      <color theme="1"/>
      <name val="맑은 고딕"/>
      <family val="2"/>
      <charset val="134"/>
      <scheme val="minor"/>
    </font>
    <font>
      <sz val="11"/>
      <color theme="1"/>
      <name val="맑은 고딕"/>
      <family val="2"/>
      <charset val="129"/>
    </font>
    <font>
      <b/>
      <sz val="14"/>
      <color theme="1"/>
      <name val="맑은 고딕"/>
      <family val="3"/>
      <charset val="129"/>
    </font>
    <font>
      <b/>
      <sz val="14"/>
      <color rgb="FFFF0000"/>
      <name val="맑은 고딕"/>
      <family val="3"/>
      <charset val="129"/>
    </font>
    <font>
      <b/>
      <u/>
      <sz val="14"/>
      <color theme="1"/>
      <name val="문체부 바탕체"/>
      <family val="1"/>
      <charset val="129"/>
    </font>
    <font>
      <b/>
      <sz val="11"/>
      <color rgb="FFFF0000"/>
      <name val="문체부 바탕체"/>
      <family val="1"/>
      <charset val="129"/>
    </font>
    <font>
      <b/>
      <sz val="12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</font>
    <font>
      <sz val="10"/>
      <color theme="0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2"/>
      <charset val="129"/>
    </font>
    <font>
      <sz val="14"/>
      <color theme="1"/>
      <name val="맑은 고딕"/>
      <family val="2"/>
      <charset val="129"/>
    </font>
    <font>
      <sz val="14"/>
      <color theme="1"/>
      <name val="맑은 고딕"/>
      <family val="3"/>
      <charset val="129"/>
    </font>
    <font>
      <b/>
      <sz val="20"/>
      <color theme="0"/>
      <name val="맑은 고딕"/>
      <family val="3"/>
      <charset val="129"/>
    </font>
    <font>
      <b/>
      <sz val="16"/>
      <color theme="0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b/>
      <sz val="18"/>
      <color theme="1"/>
      <name val="맑은 고딕"/>
      <family val="3"/>
      <charset val="129"/>
    </font>
    <font>
      <b/>
      <sz val="14"/>
      <color theme="1"/>
      <name val="맑은 고딕"/>
      <family val="1"/>
      <charset val="129"/>
    </font>
    <font>
      <sz val="12"/>
      <color theme="1"/>
      <name val="맑은 고딕"/>
      <family val="3"/>
      <charset val="129"/>
    </font>
    <font>
      <b/>
      <sz val="22"/>
      <color theme="1"/>
      <name val="맑은 고딕"/>
      <family val="3"/>
      <charset val="129"/>
    </font>
    <font>
      <sz val="16"/>
      <color theme="1"/>
      <name val="맑은 고딕"/>
      <family val="2"/>
      <charset val="129"/>
    </font>
    <font>
      <b/>
      <sz val="20"/>
      <color theme="1"/>
      <name val="맑은 고딕"/>
      <family val="3"/>
      <charset val="129"/>
    </font>
    <font>
      <b/>
      <sz val="22"/>
      <color rgb="FFFF0000"/>
      <name val="맑은 고딕"/>
      <family val="3"/>
      <charset val="129"/>
    </font>
    <font>
      <sz val="11"/>
      <name val="돋움"/>
      <family val="3"/>
      <charset val="129"/>
    </font>
    <font>
      <sz val="18"/>
      <color theme="1"/>
      <name val="맑은 고딕"/>
      <family val="2"/>
      <charset val="129"/>
    </font>
    <font>
      <sz val="20"/>
      <color theme="1"/>
      <name val="맑은 고딕"/>
      <family val="2"/>
      <charset val="129"/>
    </font>
    <font>
      <b/>
      <sz val="12"/>
      <color theme="1"/>
      <name val="바탕체"/>
      <family val="1"/>
      <charset val="129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ajor"/>
    </font>
    <font>
      <u/>
      <sz val="11"/>
      <color theme="10"/>
      <name val="맑은 고딕"/>
      <family val="2"/>
      <charset val="129"/>
    </font>
    <font>
      <b/>
      <sz val="25"/>
      <color rgb="FF000000"/>
      <name val="맑은 고딕"/>
      <family val="3"/>
      <charset val="129"/>
      <scheme val="minor"/>
    </font>
    <font>
      <sz val="13"/>
      <color rgb="FF000000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5"/>
      <color rgb="FFFF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ajor"/>
    </font>
    <font>
      <b/>
      <sz val="24"/>
      <color theme="1"/>
      <name val="맑은 고딕"/>
      <family val="3"/>
      <charset val="129"/>
      <scheme val="major"/>
    </font>
    <font>
      <b/>
      <sz val="14"/>
      <color rgb="FFFF0000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B4B47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E127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lightTrellis">
        <bgColor theme="0"/>
      </patternFill>
    </fill>
  </fills>
  <borders count="9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>
      <alignment vertical="center"/>
    </xf>
    <xf numFmtId="0" fontId="12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176" fontId="26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5" fillId="0" borderId="0"/>
    <xf numFmtId="0" fontId="10" fillId="0" borderId="0">
      <alignment vertical="center"/>
    </xf>
    <xf numFmtId="0" fontId="13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</cellStyleXfs>
  <cellXfs count="345">
    <xf numFmtId="0" fontId="0" fillId="0" borderId="0" xfId="0">
      <alignment vertical="center"/>
    </xf>
    <xf numFmtId="0" fontId="8" fillId="0" borderId="0" xfId="0" applyFont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4" borderId="0" xfId="0" applyFill="1">
      <alignment vertical="center"/>
    </xf>
    <xf numFmtId="0" fontId="8" fillId="0" borderId="1" xfId="0" applyFont="1" applyBorder="1">
      <alignment vertical="center"/>
    </xf>
    <xf numFmtId="178" fontId="1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176" fontId="23" fillId="0" borderId="0" xfId="0" applyNumberFormat="1" applyFont="1">
      <alignment vertical="center"/>
    </xf>
    <xf numFmtId="176" fontId="29" fillId="0" borderId="0" xfId="0" applyNumberFormat="1" applyFont="1">
      <alignment vertical="center"/>
    </xf>
    <xf numFmtId="176" fontId="22" fillId="0" borderId="0" xfId="0" applyNumberFormat="1" applyFont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1" fillId="0" borderId="1" xfId="1" applyFont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0" fontId="11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0" fontId="10" fillId="0" borderId="0" xfId="0" applyFont="1" applyAlignment="1">
      <alignment horizontal="left" vertical="center"/>
    </xf>
    <xf numFmtId="176" fontId="10" fillId="0" borderId="0" xfId="5" applyFont="1" applyAlignment="1">
      <alignment horizontal="left" vertical="center"/>
    </xf>
    <xf numFmtId="176" fontId="0" fillId="0" borderId="0" xfId="5" applyFont="1">
      <alignment vertical="center"/>
    </xf>
    <xf numFmtId="176" fontId="0" fillId="0" borderId="0" xfId="5" applyFont="1" applyAlignment="1">
      <alignment horizontal="center" vertical="center"/>
    </xf>
    <xf numFmtId="176" fontId="11" fillId="0" borderId="0" xfId="5" applyFont="1">
      <alignment vertical="center"/>
    </xf>
    <xf numFmtId="176" fontId="20" fillId="4" borderId="1" xfId="5" applyFont="1" applyFill="1" applyBorder="1" applyAlignment="1">
      <alignment horizontal="center" vertical="center"/>
    </xf>
    <xf numFmtId="176" fontId="21" fillId="0" borderId="1" xfId="5" applyFont="1" applyBorder="1" applyAlignment="1">
      <alignment horizontal="center" vertical="center"/>
    </xf>
    <xf numFmtId="182" fontId="0" fillId="0" borderId="0" xfId="0" applyNumberFormat="1">
      <alignment vertical="center"/>
    </xf>
    <xf numFmtId="0" fontId="8" fillId="0" borderId="1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176" fontId="35" fillId="5" borderId="17" xfId="0" applyNumberFormat="1" applyFont="1" applyFill="1" applyBorder="1">
      <alignment vertical="center"/>
    </xf>
    <xf numFmtId="0" fontId="33" fillId="9" borderId="12" xfId="0" applyFont="1" applyFill="1" applyBorder="1" applyAlignment="1">
      <alignment horizontal="center" vertical="center"/>
    </xf>
    <xf numFmtId="38" fontId="33" fillId="9" borderId="12" xfId="0" applyNumberFormat="1" applyFont="1" applyFill="1" applyBorder="1" applyAlignment="1">
      <alignment horizontal="center" vertical="center"/>
    </xf>
    <xf numFmtId="38" fontId="33" fillId="9" borderId="7" xfId="0" applyNumberFormat="1" applyFont="1" applyFill="1" applyBorder="1" applyAlignment="1">
      <alignment horizontal="center" vertical="center"/>
    </xf>
    <xf numFmtId="0" fontId="33" fillId="9" borderId="7" xfId="0" applyFont="1" applyFill="1" applyBorder="1" applyAlignment="1">
      <alignment horizontal="center" vertical="center"/>
    </xf>
    <xf numFmtId="0" fontId="33" fillId="7" borderId="12" xfId="0" applyFont="1" applyFill="1" applyBorder="1" applyAlignment="1">
      <alignment horizontal="left" vertical="center"/>
    </xf>
    <xf numFmtId="0" fontId="33" fillId="7" borderId="12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40" fillId="0" borderId="0" xfId="0" applyFont="1">
      <alignment vertical="center"/>
    </xf>
    <xf numFmtId="0" fontId="42" fillId="0" borderId="0" xfId="0" applyFont="1">
      <alignment vertical="center"/>
    </xf>
    <xf numFmtId="0" fontId="14" fillId="12" borderId="12" xfId="0" applyFont="1" applyFill="1" applyBorder="1" applyAlignment="1">
      <alignment horizontal="center" vertical="center"/>
    </xf>
    <xf numFmtId="0" fontId="8" fillId="13" borderId="14" xfId="0" applyFont="1" applyFill="1" applyBorder="1" applyAlignment="1">
      <alignment horizontal="center" vertical="center"/>
    </xf>
    <xf numFmtId="0" fontId="33" fillId="13" borderId="7" xfId="0" applyFont="1" applyFill="1" applyBorder="1" applyAlignment="1">
      <alignment horizontal="center" vertical="center"/>
    </xf>
    <xf numFmtId="38" fontId="33" fillId="13" borderId="7" xfId="0" applyNumberFormat="1" applyFont="1" applyFill="1" applyBorder="1" applyAlignment="1">
      <alignment horizontal="center" vertical="center"/>
    </xf>
    <xf numFmtId="0" fontId="33" fillId="13" borderId="18" xfId="0" applyFont="1" applyFill="1" applyBorder="1" applyAlignment="1">
      <alignment horizontal="center" vertical="center"/>
    </xf>
    <xf numFmtId="0" fontId="8" fillId="13" borderId="15" xfId="0" applyFont="1" applyFill="1" applyBorder="1" applyAlignment="1">
      <alignment horizontal="center" vertical="center"/>
    </xf>
    <xf numFmtId="0" fontId="33" fillId="13" borderId="16" xfId="0" applyFont="1" applyFill="1" applyBorder="1" applyAlignment="1">
      <alignment horizontal="center" vertical="center"/>
    </xf>
    <xf numFmtId="38" fontId="33" fillId="13" borderId="16" xfId="0" applyNumberFormat="1" applyFont="1" applyFill="1" applyBorder="1" applyAlignment="1">
      <alignment horizontal="center" vertical="center"/>
    </xf>
    <xf numFmtId="0" fontId="33" fillId="13" borderId="23" xfId="0" applyFont="1" applyFill="1" applyBorder="1" applyAlignment="1">
      <alignment horizontal="center" vertical="center"/>
    </xf>
    <xf numFmtId="181" fontId="0" fillId="0" borderId="0" xfId="0" applyNumberFormat="1">
      <alignment vertical="center"/>
    </xf>
    <xf numFmtId="181" fontId="40" fillId="0" borderId="0" xfId="0" applyNumberFormat="1" applyFont="1">
      <alignment vertical="center"/>
    </xf>
    <xf numFmtId="181" fontId="14" fillId="12" borderId="12" xfId="0" applyNumberFormat="1" applyFont="1" applyFill="1" applyBorder="1" applyAlignment="1">
      <alignment horizontal="center" vertical="center"/>
    </xf>
    <xf numFmtId="181" fontId="33" fillId="13" borderId="18" xfId="0" applyNumberFormat="1" applyFont="1" applyFill="1" applyBorder="1" applyAlignment="1">
      <alignment horizontal="center" vertical="center"/>
    </xf>
    <xf numFmtId="181" fontId="32" fillId="0" borderId="0" xfId="0" applyNumberFormat="1" applyFont="1">
      <alignment vertical="center"/>
    </xf>
    <xf numFmtId="181" fontId="42" fillId="0" borderId="0" xfId="0" applyNumberFormat="1" applyFont="1">
      <alignment vertical="center"/>
    </xf>
    <xf numFmtId="181" fontId="33" fillId="9" borderId="12" xfId="0" applyNumberFormat="1" applyFont="1" applyFill="1" applyBorder="1" applyAlignment="1">
      <alignment horizontal="center" vertical="center"/>
    </xf>
    <xf numFmtId="181" fontId="33" fillId="9" borderId="7" xfId="0" applyNumberFormat="1" applyFont="1" applyFill="1" applyBorder="1" applyAlignment="1">
      <alignment horizontal="center" vertical="center"/>
    </xf>
    <xf numFmtId="181" fontId="33" fillId="13" borderId="7" xfId="0" applyNumberFormat="1" applyFont="1" applyFill="1" applyBorder="1" applyAlignment="1">
      <alignment horizontal="center" vertical="center"/>
    </xf>
    <xf numFmtId="181" fontId="33" fillId="13" borderId="16" xfId="0" applyNumberFormat="1" applyFont="1" applyFill="1" applyBorder="1" applyAlignment="1">
      <alignment horizontal="center" vertical="center"/>
    </xf>
    <xf numFmtId="0" fontId="43" fillId="7" borderId="12" xfId="0" applyFont="1" applyFill="1" applyBorder="1" applyAlignment="1">
      <alignment horizontal="left" vertical="center"/>
    </xf>
    <xf numFmtId="181" fontId="33" fillId="13" borderId="23" xfId="0" applyNumberFormat="1" applyFont="1" applyFill="1" applyBorder="1" applyAlignment="1">
      <alignment horizontal="center" vertical="center"/>
    </xf>
    <xf numFmtId="176" fontId="14" fillId="12" borderId="12" xfId="0" applyNumberFormat="1" applyFont="1" applyFill="1" applyBorder="1" applyAlignment="1">
      <alignment horizontal="right" vertical="center"/>
    </xf>
    <xf numFmtId="176" fontId="14" fillId="12" borderId="22" xfId="0" applyNumberFormat="1" applyFont="1" applyFill="1" applyBorder="1" applyAlignment="1">
      <alignment horizontal="right" vertical="center"/>
    </xf>
    <xf numFmtId="176" fontId="21" fillId="0" borderId="1" xfId="1" applyNumberFormat="1" applyFont="1" applyBorder="1" applyAlignment="1">
      <alignment horizontal="center" vertical="center"/>
    </xf>
    <xf numFmtId="183" fontId="46" fillId="0" borderId="0" xfId="0" applyNumberFormat="1" applyFont="1">
      <alignment vertical="center"/>
    </xf>
    <xf numFmtId="183" fontId="47" fillId="0" borderId="0" xfId="0" applyNumberFormat="1" applyFont="1">
      <alignment vertical="center"/>
    </xf>
    <xf numFmtId="0" fontId="8" fillId="0" borderId="38" xfId="0" applyFont="1" applyBorder="1" applyAlignment="1">
      <alignment horizontal="center" vertical="center"/>
    </xf>
    <xf numFmtId="0" fontId="0" fillId="0" borderId="38" xfId="0" applyBorder="1">
      <alignment vertical="center"/>
    </xf>
    <xf numFmtId="0" fontId="30" fillId="0" borderId="40" xfId="0" applyFont="1" applyBorder="1">
      <alignment vertical="center"/>
    </xf>
    <xf numFmtId="0" fontId="0" fillId="0" borderId="40" xfId="0" applyBorder="1">
      <alignment vertical="center"/>
    </xf>
    <xf numFmtId="0" fontId="0" fillId="0" borderId="42" xfId="0" applyBorder="1">
      <alignment vertical="center"/>
    </xf>
    <xf numFmtId="0" fontId="0" fillId="0" borderId="43" xfId="0" applyBorder="1">
      <alignment vertical="center"/>
    </xf>
    <xf numFmtId="0" fontId="33" fillId="9" borderId="38" xfId="0" applyFont="1" applyFill="1" applyBorder="1" applyAlignment="1">
      <alignment horizontal="center" vertical="center"/>
    </xf>
    <xf numFmtId="176" fontId="18" fillId="12" borderId="22" xfId="0" applyNumberFormat="1" applyFont="1" applyFill="1" applyBorder="1" applyAlignment="1">
      <alignment horizontal="right" vertical="center"/>
    </xf>
    <xf numFmtId="176" fontId="18" fillId="12" borderId="12" xfId="0" applyNumberFormat="1" applyFont="1" applyFill="1" applyBorder="1" applyAlignment="1">
      <alignment horizontal="right" vertical="center"/>
    </xf>
    <xf numFmtId="183" fontId="0" fillId="0" borderId="0" xfId="0" applyNumberFormat="1">
      <alignment vertical="center"/>
    </xf>
    <xf numFmtId="181" fontId="33" fillId="13" borderId="44" xfId="0" applyNumberFormat="1" applyFont="1" applyFill="1" applyBorder="1" applyAlignment="1">
      <alignment horizontal="center" vertical="center"/>
    </xf>
    <xf numFmtId="181" fontId="33" fillId="13" borderId="45" xfId="0" applyNumberFormat="1" applyFont="1" applyFill="1" applyBorder="1" applyAlignment="1">
      <alignment horizontal="center" vertical="center"/>
    </xf>
    <xf numFmtId="0" fontId="33" fillId="13" borderId="44" xfId="0" applyFont="1" applyFill="1" applyBorder="1" applyAlignment="1">
      <alignment horizontal="center" vertical="center"/>
    </xf>
    <xf numFmtId="0" fontId="33" fillId="13" borderId="45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181" fontId="33" fillId="9" borderId="38" xfId="0" applyNumberFormat="1" applyFont="1" applyFill="1" applyBorder="1" applyAlignment="1">
      <alignment horizontal="center" vertical="center"/>
    </xf>
    <xf numFmtId="176" fontId="21" fillId="0" borderId="2" xfId="5" applyFont="1" applyBorder="1" applyAlignment="1">
      <alignment horizontal="center" vertical="center"/>
    </xf>
    <xf numFmtId="176" fontId="21" fillId="0" borderId="3" xfId="5" applyFont="1" applyBorder="1" applyAlignment="1">
      <alignment horizontal="center" vertical="center"/>
    </xf>
    <xf numFmtId="0" fontId="20" fillId="8" borderId="41" xfId="0" applyFont="1" applyFill="1" applyBorder="1">
      <alignment vertical="center"/>
    </xf>
    <xf numFmtId="0" fontId="8" fillId="8" borderId="42" xfId="0" applyFont="1" applyFill="1" applyBorder="1" applyAlignment="1">
      <alignment horizontal="center" vertical="center"/>
    </xf>
    <xf numFmtId="181" fontId="8" fillId="8" borderId="42" xfId="0" applyNumberFormat="1" applyFont="1" applyFill="1" applyBorder="1" applyAlignment="1">
      <alignment horizontal="center" vertical="center"/>
    </xf>
    <xf numFmtId="0" fontId="25" fillId="8" borderId="42" xfId="0" applyFont="1" applyFill="1" applyBorder="1" applyAlignment="1">
      <alignment horizontal="center" vertical="center"/>
    </xf>
    <xf numFmtId="0" fontId="25" fillId="8" borderId="45" xfId="0" applyFont="1" applyFill="1" applyBorder="1" applyAlignment="1">
      <alignment horizontal="center" vertical="center"/>
    </xf>
    <xf numFmtId="176" fontId="28" fillId="8" borderId="43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vertical="center" wrapText="1"/>
    </xf>
    <xf numFmtId="0" fontId="24" fillId="0" borderId="0" xfId="0" applyFont="1">
      <alignment vertical="center"/>
    </xf>
    <xf numFmtId="0" fontId="48" fillId="3" borderId="55" xfId="0" applyFont="1" applyFill="1" applyBorder="1" applyAlignment="1">
      <alignment horizontal="left" vertical="center"/>
    </xf>
    <xf numFmtId="178" fontId="10" fillId="3" borderId="55" xfId="0" applyNumberFormat="1" applyFont="1" applyFill="1" applyBorder="1" applyAlignment="1">
      <alignment horizontal="left" vertical="center"/>
    </xf>
    <xf numFmtId="177" fontId="30" fillId="3" borderId="55" xfId="0" applyNumberFormat="1" applyFont="1" applyFill="1" applyBorder="1" applyAlignment="1">
      <alignment horizontal="left" vertical="center"/>
    </xf>
    <xf numFmtId="0" fontId="30" fillId="3" borderId="55" xfId="0" applyFont="1" applyFill="1" applyBorder="1" applyAlignment="1">
      <alignment horizontal="left" vertical="center"/>
    </xf>
    <xf numFmtId="176" fontId="10" fillId="3" borderId="55" xfId="5" applyFont="1" applyFill="1" applyBorder="1" applyAlignment="1">
      <alignment horizontal="left" vertical="center"/>
    </xf>
    <xf numFmtId="0" fontId="14" fillId="0" borderId="0" xfId="0" applyFont="1">
      <alignment vertical="center"/>
    </xf>
    <xf numFmtId="178" fontId="49" fillId="3" borderId="55" xfId="0" applyNumberFormat="1" applyFont="1" applyFill="1" applyBorder="1" applyAlignment="1">
      <alignment horizontal="left" vertical="center"/>
    </xf>
    <xf numFmtId="176" fontId="51" fillId="3" borderId="55" xfId="5" applyFont="1" applyFill="1" applyBorder="1" applyAlignment="1">
      <alignment horizontal="left" vertical="center"/>
    </xf>
    <xf numFmtId="58" fontId="58" fillId="0" borderId="0" xfId="0" applyNumberFormat="1" applyFont="1" applyAlignment="1">
      <alignment horizontal="center" vertical="center"/>
    </xf>
    <xf numFmtId="0" fontId="60" fillId="0" borderId="63" xfId="0" applyFont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 wrapText="1"/>
    </xf>
    <xf numFmtId="0" fontId="60" fillId="0" borderId="6" xfId="0" applyFont="1" applyBorder="1" applyAlignment="1">
      <alignment horizontal="center" vertical="center" wrapText="1"/>
    </xf>
    <xf numFmtId="0" fontId="60" fillId="0" borderId="70" xfId="0" applyFont="1" applyBorder="1" applyAlignment="1">
      <alignment horizontal="center" vertical="center" wrapText="1"/>
    </xf>
    <xf numFmtId="0" fontId="61" fillId="0" borderId="1" xfId="0" applyFont="1" applyBorder="1" applyAlignment="1">
      <alignment horizontal="center" vertical="center" wrapText="1"/>
    </xf>
    <xf numFmtId="0" fontId="61" fillId="0" borderId="75" xfId="0" applyFont="1" applyBorder="1" applyAlignment="1">
      <alignment horizontal="center" vertical="center" wrapText="1"/>
    </xf>
    <xf numFmtId="0" fontId="60" fillId="0" borderId="10" xfId="0" applyFont="1" applyBorder="1" applyAlignment="1">
      <alignment horizontal="center" vertical="center" wrapText="1"/>
    </xf>
    <xf numFmtId="0" fontId="60" fillId="0" borderId="11" xfId="0" applyFont="1" applyBorder="1" applyAlignment="1">
      <alignment horizontal="center" vertical="center" wrapText="1"/>
    </xf>
    <xf numFmtId="0" fontId="60" fillId="0" borderId="0" xfId="0" applyFont="1" applyAlignment="1">
      <alignment horizontal="center" vertical="center" wrapText="1"/>
    </xf>
    <xf numFmtId="3" fontId="63" fillId="0" borderId="58" xfId="0" applyNumberFormat="1" applyFont="1" applyBorder="1" applyAlignment="1">
      <alignment horizontal="center" vertical="center"/>
    </xf>
    <xf numFmtId="0" fontId="63" fillId="0" borderId="58" xfId="0" applyFont="1" applyBorder="1" applyAlignment="1">
      <alignment horizontal="center" vertical="center"/>
    </xf>
    <xf numFmtId="0" fontId="64" fillId="11" borderId="58" xfId="0" applyFont="1" applyFill="1" applyBorder="1" applyAlignment="1">
      <alignment horizontal="center" vertical="center" wrapText="1"/>
    </xf>
    <xf numFmtId="184" fontId="63" fillId="0" borderId="61" xfId="0" quotePrefix="1" applyNumberFormat="1" applyFont="1" applyBorder="1" applyAlignment="1">
      <alignment horizontal="center" vertical="center"/>
    </xf>
    <xf numFmtId="0" fontId="63" fillId="0" borderId="61" xfId="0" applyFont="1" applyBorder="1" applyAlignment="1">
      <alignment horizontal="center" vertical="center"/>
    </xf>
    <xf numFmtId="0" fontId="63" fillId="0" borderId="12" xfId="0" applyFont="1" applyBorder="1" applyAlignment="1">
      <alignment horizontal="center" vertical="center"/>
    </xf>
    <xf numFmtId="0" fontId="64" fillId="11" borderId="12" xfId="0" applyFont="1" applyFill="1" applyBorder="1" applyAlignment="1">
      <alignment horizontal="center" vertical="center" wrapText="1"/>
    </xf>
    <xf numFmtId="0" fontId="63" fillId="0" borderId="61" xfId="0" applyFont="1" applyBorder="1" applyAlignment="1">
      <alignment horizontal="center" vertical="center" wrapText="1"/>
    </xf>
    <xf numFmtId="0" fontId="64" fillId="0" borderId="83" xfId="0" applyFont="1" applyBorder="1" applyAlignment="1">
      <alignment horizontal="center" vertical="center" wrapText="1"/>
    </xf>
    <xf numFmtId="0" fontId="64" fillId="0" borderId="84" xfId="0" applyFont="1" applyBorder="1" applyAlignment="1">
      <alignment horizontal="center" vertical="center" wrapText="1"/>
    </xf>
    <xf numFmtId="0" fontId="64" fillId="0" borderId="82" xfId="0" applyFont="1" applyBorder="1" applyAlignment="1">
      <alignment horizontal="center" vertical="center" wrapText="1"/>
    </xf>
    <xf numFmtId="0" fontId="63" fillId="0" borderId="46" xfId="0" applyFont="1" applyBorder="1" applyAlignment="1">
      <alignment horizontal="center" vertical="center"/>
    </xf>
    <xf numFmtId="0" fontId="64" fillId="11" borderId="46" xfId="0" applyFont="1" applyFill="1" applyBorder="1" applyAlignment="1">
      <alignment horizontal="center" vertical="center" wrapText="1"/>
    </xf>
    <xf numFmtId="0" fontId="63" fillId="0" borderId="51" xfId="0" applyFont="1" applyBorder="1" applyAlignment="1">
      <alignment horizontal="left" vertical="center"/>
    </xf>
    <xf numFmtId="0" fontId="56" fillId="0" borderId="33" xfId="0" applyFont="1" applyBorder="1" applyAlignment="1">
      <alignment horizontal="center" vertical="center" wrapText="1"/>
    </xf>
    <xf numFmtId="0" fontId="56" fillId="0" borderId="85" xfId="0" applyFont="1" applyBorder="1" applyAlignment="1">
      <alignment horizontal="center" vertical="center" wrapText="1"/>
    </xf>
    <xf numFmtId="0" fontId="56" fillId="0" borderId="8" xfId="0" applyFont="1" applyBorder="1" applyAlignment="1">
      <alignment horizontal="center" vertical="center" wrapText="1"/>
    </xf>
    <xf numFmtId="181" fontId="33" fillId="9" borderId="86" xfId="0" applyNumberFormat="1" applyFont="1" applyFill="1" applyBorder="1" applyAlignment="1">
      <alignment horizontal="center" vertical="center"/>
    </xf>
    <xf numFmtId="185" fontId="0" fillId="0" borderId="0" xfId="0" applyNumberFormat="1">
      <alignment vertical="center"/>
    </xf>
    <xf numFmtId="185" fontId="40" fillId="0" borderId="0" xfId="0" applyNumberFormat="1" applyFont="1">
      <alignment vertical="center"/>
    </xf>
    <xf numFmtId="185" fontId="8" fillId="8" borderId="56" xfId="0" applyNumberFormat="1" applyFont="1" applyFill="1" applyBorder="1" applyAlignment="1">
      <alignment horizontal="center" vertical="center"/>
    </xf>
    <xf numFmtId="185" fontId="14" fillId="12" borderId="12" xfId="0" applyNumberFormat="1" applyFont="1" applyFill="1" applyBorder="1" applyAlignment="1">
      <alignment horizontal="center" vertical="center"/>
    </xf>
    <xf numFmtId="185" fontId="33" fillId="13" borderId="87" xfId="0" applyNumberFormat="1" applyFont="1" applyFill="1" applyBorder="1" applyAlignment="1">
      <alignment horizontal="center" vertical="center"/>
    </xf>
    <xf numFmtId="185" fontId="33" fillId="13" borderId="57" xfId="0" applyNumberFormat="1" applyFont="1" applyFill="1" applyBorder="1" applyAlignment="1">
      <alignment horizontal="center" vertical="center"/>
    </xf>
    <xf numFmtId="176" fontId="51" fillId="3" borderId="0" xfId="5" applyFont="1" applyFill="1" applyBorder="1" applyAlignment="1">
      <alignment horizontal="left" vertical="center"/>
    </xf>
    <xf numFmtId="0" fontId="50" fillId="3" borderId="55" xfId="0" applyFont="1" applyFill="1" applyBorder="1" applyAlignment="1">
      <alignment horizontal="center" vertical="center"/>
    </xf>
    <xf numFmtId="177" fontId="49" fillId="3" borderId="55" xfId="0" applyNumberFormat="1" applyFont="1" applyFill="1" applyBorder="1" applyAlignment="1">
      <alignment horizontal="left" vertical="center"/>
    </xf>
    <xf numFmtId="0" fontId="49" fillId="3" borderId="55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left" vertical="center"/>
    </xf>
    <xf numFmtId="0" fontId="30" fillId="0" borderId="1" xfId="0" applyFont="1" applyBorder="1" applyAlignment="1">
      <alignment horizontal="center" vertical="center"/>
    </xf>
    <xf numFmtId="182" fontId="30" fillId="0" borderId="1" xfId="0" applyNumberFormat="1" applyFont="1" applyBorder="1" applyAlignment="1">
      <alignment horizontal="center" vertical="center"/>
    </xf>
    <xf numFmtId="176" fontId="30" fillId="0" borderId="1" xfId="0" applyNumberFormat="1" applyFont="1" applyBorder="1" applyAlignment="1">
      <alignment horizontal="center" vertical="center"/>
    </xf>
    <xf numFmtId="176" fontId="30" fillId="0" borderId="1" xfId="0" applyNumberFormat="1" applyFont="1" applyBorder="1">
      <alignment vertical="center"/>
    </xf>
    <xf numFmtId="0" fontId="30" fillId="0" borderId="1" xfId="0" applyFont="1" applyBorder="1">
      <alignment vertical="center"/>
    </xf>
    <xf numFmtId="181" fontId="30" fillId="0" borderId="1" xfId="0" applyNumberFormat="1" applyFont="1" applyBorder="1" applyAlignment="1">
      <alignment horizontal="center" vertical="center"/>
    </xf>
    <xf numFmtId="176" fontId="68" fillId="0" borderId="1" xfId="0" applyNumberFormat="1" applyFont="1" applyBorder="1" applyAlignment="1">
      <alignment horizontal="right" vertical="center"/>
    </xf>
    <xf numFmtId="0" fontId="33" fillId="9" borderId="12" xfId="0" applyFont="1" applyFill="1" applyBorder="1" applyAlignment="1">
      <alignment horizontal="left" vertical="center"/>
    </xf>
    <xf numFmtId="0" fontId="69" fillId="4" borderId="1" xfId="0" applyFont="1" applyFill="1" applyBorder="1" applyAlignment="1">
      <alignment horizontal="center" vertical="center"/>
    </xf>
    <xf numFmtId="0" fontId="69" fillId="4" borderId="1" xfId="0" applyFont="1" applyFill="1" applyBorder="1" applyAlignment="1">
      <alignment horizontal="center" vertical="center" wrapText="1"/>
    </xf>
    <xf numFmtId="182" fontId="69" fillId="4" borderId="1" xfId="0" applyNumberFormat="1" applyFont="1" applyFill="1" applyBorder="1" applyAlignment="1">
      <alignment horizontal="center" vertical="center"/>
    </xf>
    <xf numFmtId="0" fontId="68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9" fontId="0" fillId="0" borderId="1" xfId="2" applyFont="1" applyBorder="1">
      <alignment vertical="center"/>
    </xf>
    <xf numFmtId="176" fontId="0" fillId="0" borderId="1" xfId="0" applyNumberFormat="1" applyBorder="1">
      <alignment vertical="center"/>
    </xf>
    <xf numFmtId="0" fontId="36" fillId="0" borderId="1" xfId="0" applyFont="1" applyBorder="1">
      <alignment vertical="center"/>
    </xf>
    <xf numFmtId="0" fontId="0" fillId="7" borderId="0" xfId="0" applyFill="1">
      <alignment vertical="center"/>
    </xf>
    <xf numFmtId="0" fontId="52" fillId="0" borderId="0" xfId="0" applyFont="1" applyAlignment="1">
      <alignment horizontal="left" vertical="center"/>
    </xf>
    <xf numFmtId="182" fontId="11" fillId="0" borderId="0" xfId="0" applyNumberFormat="1" applyFont="1">
      <alignment vertical="center"/>
    </xf>
    <xf numFmtId="0" fontId="11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76" fontId="51" fillId="0" borderId="0" xfId="5" applyFont="1" applyFill="1" applyBorder="1" applyAlignment="1">
      <alignment horizontal="left" vertical="center"/>
    </xf>
    <xf numFmtId="0" fontId="70" fillId="0" borderId="0" xfId="0" applyFont="1">
      <alignment vertical="center"/>
    </xf>
    <xf numFmtId="0" fontId="50" fillId="3" borderId="0" xfId="0" applyFont="1" applyFill="1" applyAlignment="1">
      <alignment horizontal="center" vertical="center"/>
    </xf>
    <xf numFmtId="0" fontId="49" fillId="3" borderId="0" xfId="0" applyFont="1" applyFill="1" applyAlignment="1">
      <alignment horizontal="left" vertical="center"/>
    </xf>
    <xf numFmtId="0" fontId="33" fillId="9" borderId="86" xfId="0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9" fontId="37" fillId="0" borderId="0" xfId="0" applyNumberFormat="1" applyFont="1" applyAlignment="1">
      <alignment horizontal="right" vertical="center"/>
    </xf>
    <xf numFmtId="0" fontId="63" fillId="0" borderId="61" xfId="0" quotePrefix="1" applyFont="1" applyBorder="1" applyAlignment="1">
      <alignment horizontal="center" vertical="center"/>
    </xf>
    <xf numFmtId="0" fontId="64" fillId="0" borderId="83" xfId="0" applyFont="1" applyBorder="1" applyAlignment="1">
      <alignment horizontal="center" vertical="center" wrapText="1"/>
    </xf>
    <xf numFmtId="0" fontId="64" fillId="0" borderId="84" xfId="0" applyFont="1" applyBorder="1" applyAlignment="1">
      <alignment horizontal="center" vertical="center" wrapText="1"/>
    </xf>
    <xf numFmtId="0" fontId="64" fillId="0" borderId="82" xfId="0" applyFont="1" applyBorder="1" applyAlignment="1">
      <alignment horizontal="center" vertical="center" wrapText="1"/>
    </xf>
    <xf numFmtId="0" fontId="57" fillId="0" borderId="53" xfId="0" applyFont="1" applyBorder="1" applyAlignment="1">
      <alignment horizontal="center" vertical="center" wrapText="1"/>
    </xf>
    <xf numFmtId="0" fontId="57" fillId="0" borderId="54" xfId="0" applyFont="1" applyBorder="1" applyAlignment="1">
      <alignment horizontal="center" vertical="center" wrapText="1"/>
    </xf>
    <xf numFmtId="0" fontId="57" fillId="0" borderId="85" xfId="0" applyFont="1" applyBorder="1" applyAlignment="1">
      <alignment horizontal="center" vertical="center" wrapText="1"/>
    </xf>
    <xf numFmtId="0" fontId="0" fillId="0" borderId="83" xfId="0" applyBorder="1">
      <alignment vertical="center"/>
    </xf>
    <xf numFmtId="0" fontId="0" fillId="0" borderId="84" xfId="0" applyBorder="1">
      <alignment vertical="center"/>
    </xf>
    <xf numFmtId="0" fontId="0" fillId="0" borderId="82" xfId="0" applyBorder="1">
      <alignment vertical="center"/>
    </xf>
    <xf numFmtId="0" fontId="63" fillId="0" borderId="60" xfId="0" applyFont="1" applyBorder="1" applyAlignment="1">
      <alignment horizontal="center" vertical="center"/>
    </xf>
    <xf numFmtId="0" fontId="63" fillId="0" borderId="82" xfId="0" applyFont="1" applyBorder="1" applyAlignment="1">
      <alignment horizontal="center" vertical="center"/>
    </xf>
    <xf numFmtId="0" fontId="62" fillId="0" borderId="25" xfId="0" applyFont="1" applyBorder="1" applyAlignment="1">
      <alignment horizontal="center" vertical="center" wrapText="1"/>
    </xf>
    <xf numFmtId="0" fontId="60" fillId="0" borderId="80" xfId="0" applyFont="1" applyBorder="1" applyAlignment="1">
      <alignment horizontal="center" vertical="center" wrapText="1"/>
    </xf>
    <xf numFmtId="0" fontId="60" fillId="0" borderId="81" xfId="0" applyFont="1" applyBorder="1" applyAlignment="1">
      <alignment horizontal="center" vertical="center" wrapText="1"/>
    </xf>
    <xf numFmtId="0" fontId="60" fillId="0" borderId="47" xfId="0" applyFont="1" applyBorder="1" applyAlignment="1">
      <alignment horizontal="center" vertical="center" wrapText="1"/>
    </xf>
    <xf numFmtId="0" fontId="0" fillId="0" borderId="59" xfId="0" applyBorder="1">
      <alignment vertical="center"/>
    </xf>
    <xf numFmtId="0" fontId="0" fillId="0" borderId="58" xfId="0" applyBorder="1">
      <alignment vertical="center"/>
    </xf>
    <xf numFmtId="0" fontId="60" fillId="0" borderId="66" xfId="0" applyFont="1" applyBorder="1" applyAlignment="1">
      <alignment horizontal="center" vertical="center" wrapText="1"/>
    </xf>
    <xf numFmtId="0" fontId="60" fillId="0" borderId="74" xfId="0" applyFont="1" applyBorder="1" applyAlignment="1">
      <alignment horizontal="center" vertical="center" wrapText="1"/>
    </xf>
    <xf numFmtId="0" fontId="61" fillId="6" borderId="1" xfId="0" applyFont="1" applyFill="1" applyBorder="1" applyAlignment="1">
      <alignment horizontal="left" vertical="center" wrapText="1" indent="1"/>
    </xf>
    <xf numFmtId="0" fontId="61" fillId="6" borderId="73" xfId="0" applyFont="1" applyFill="1" applyBorder="1" applyAlignment="1">
      <alignment horizontal="left" vertical="center" wrapText="1" indent="1"/>
    </xf>
    <xf numFmtId="0" fontId="61" fillId="6" borderId="76" xfId="0" applyFont="1" applyFill="1" applyBorder="1" applyAlignment="1">
      <alignment horizontal="center" vertical="center" wrapText="1"/>
    </xf>
    <xf numFmtId="0" fontId="61" fillId="6" borderId="77" xfId="0" applyFont="1" applyFill="1" applyBorder="1" applyAlignment="1">
      <alignment horizontal="center" vertical="center" wrapText="1"/>
    </xf>
    <xf numFmtId="0" fontId="61" fillId="6" borderId="78" xfId="0" applyFont="1" applyFill="1" applyBorder="1" applyAlignment="1">
      <alignment horizontal="center" vertical="center" wrapText="1"/>
    </xf>
    <xf numFmtId="0" fontId="61" fillId="6" borderId="76" xfId="0" quotePrefix="1" applyFont="1" applyFill="1" applyBorder="1" applyAlignment="1">
      <alignment horizontal="center" vertical="center" wrapText="1"/>
    </xf>
    <xf numFmtId="0" fontId="61" fillId="6" borderId="79" xfId="0" applyFont="1" applyFill="1" applyBorder="1" applyAlignment="1">
      <alignment horizontal="center" vertical="center" wrapText="1"/>
    </xf>
    <xf numFmtId="0" fontId="60" fillId="0" borderId="68" xfId="0" applyFont="1" applyBorder="1" applyAlignment="1">
      <alignment horizontal="center" vertical="center" wrapText="1"/>
    </xf>
    <xf numFmtId="0" fontId="60" fillId="0" borderId="3" xfId="0" applyFont="1" applyBorder="1" applyAlignment="1">
      <alignment horizontal="center" vertical="center" wrapText="1"/>
    </xf>
    <xf numFmtId="0" fontId="60" fillId="6" borderId="2" xfId="0" applyFont="1" applyFill="1" applyBorder="1" applyAlignment="1">
      <alignment horizontal="center" vertical="center" wrapText="1"/>
    </xf>
    <xf numFmtId="0" fontId="60" fillId="6" borderId="4" xfId="0" applyFont="1" applyFill="1" applyBorder="1" applyAlignment="1">
      <alignment horizontal="center" vertical="center" wrapText="1"/>
    </xf>
    <xf numFmtId="0" fontId="60" fillId="6" borderId="3" xfId="0" applyFont="1" applyFill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 wrapText="1"/>
    </xf>
    <xf numFmtId="0" fontId="60" fillId="0" borderId="67" xfId="0" applyFont="1" applyBorder="1" applyAlignment="1">
      <alignment horizontal="center" vertical="center" wrapText="1"/>
    </xf>
    <xf numFmtId="0" fontId="60" fillId="0" borderId="69" xfId="0" applyFont="1" applyBorder="1" applyAlignment="1">
      <alignment horizontal="center" vertical="center" wrapText="1"/>
    </xf>
    <xf numFmtId="0" fontId="60" fillId="0" borderId="70" xfId="0" applyFont="1" applyBorder="1" applyAlignment="1">
      <alignment horizontal="center" vertical="center" wrapText="1"/>
    </xf>
    <xf numFmtId="0" fontId="53" fillId="6" borderId="70" xfId="17" applyFill="1" applyBorder="1" applyAlignment="1">
      <alignment horizontal="center" vertical="center" wrapText="1"/>
    </xf>
    <xf numFmtId="0" fontId="60" fillId="6" borderId="70" xfId="0" applyFont="1" applyFill="1" applyBorder="1" applyAlignment="1">
      <alignment horizontal="center" vertical="center" wrapText="1"/>
    </xf>
    <xf numFmtId="0" fontId="53" fillId="0" borderId="71" xfId="17" applyBorder="1" applyAlignment="1">
      <alignment horizontal="center" vertical="center" wrapText="1"/>
    </xf>
    <xf numFmtId="0" fontId="60" fillId="0" borderId="72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58" fontId="56" fillId="0" borderId="30" xfId="0" applyNumberFormat="1" applyFont="1" applyBorder="1" applyAlignment="1">
      <alignment horizontal="center" vertical="center"/>
    </xf>
    <xf numFmtId="58" fontId="57" fillId="0" borderId="30" xfId="0" applyNumberFormat="1" applyFont="1" applyBorder="1" applyAlignment="1">
      <alignment horizontal="left" vertical="center" indent="1"/>
    </xf>
    <xf numFmtId="58" fontId="59" fillId="0" borderId="30" xfId="0" applyNumberFormat="1" applyFont="1" applyBorder="1" applyAlignment="1">
      <alignment horizontal="center" vertical="center"/>
    </xf>
    <xf numFmtId="0" fontId="60" fillId="0" borderId="62" xfId="0" applyFont="1" applyBorder="1" applyAlignment="1">
      <alignment horizontal="center" vertical="center" wrapText="1"/>
    </xf>
    <xf numFmtId="0" fontId="60" fillId="0" borderId="63" xfId="0" applyFont="1" applyBorder="1" applyAlignment="1">
      <alignment horizontal="center" vertical="center" wrapText="1"/>
    </xf>
    <xf numFmtId="0" fontId="60" fillId="6" borderId="63" xfId="0" applyFont="1" applyFill="1" applyBorder="1" applyAlignment="1">
      <alignment horizontal="center" vertical="center" wrapText="1"/>
    </xf>
    <xf numFmtId="0" fontId="60" fillId="0" borderId="64" xfId="0" applyFont="1" applyBorder="1" applyAlignment="1">
      <alignment horizontal="center" vertical="center" wrapText="1"/>
    </xf>
    <xf numFmtId="0" fontId="60" fillId="0" borderId="65" xfId="0" applyFont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 wrapText="1"/>
    </xf>
    <xf numFmtId="0" fontId="60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  <xf numFmtId="0" fontId="8" fillId="6" borderId="3" xfId="0" applyFont="1" applyFill="1" applyBorder="1" applyAlignment="1">
      <alignment horizontal="left" vertical="center"/>
    </xf>
    <xf numFmtId="178" fontId="8" fillId="6" borderId="2" xfId="0" applyNumberFormat="1" applyFont="1" applyFill="1" applyBorder="1" applyAlignment="1">
      <alignment horizontal="left" vertical="center"/>
    </xf>
    <xf numFmtId="178" fontId="8" fillId="6" borderId="3" xfId="0" applyNumberFormat="1" applyFont="1" applyFill="1" applyBorder="1" applyAlignment="1">
      <alignment horizontal="left" vertical="center"/>
    </xf>
    <xf numFmtId="178" fontId="20" fillId="5" borderId="2" xfId="0" applyNumberFormat="1" applyFont="1" applyFill="1" applyBorder="1" applyAlignment="1">
      <alignment horizontal="left" vertical="center"/>
    </xf>
    <xf numFmtId="178" fontId="20" fillId="5" borderId="3" xfId="0" applyNumberFormat="1" applyFont="1" applyFill="1" applyBorder="1" applyAlignment="1">
      <alignment horizontal="left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 wrapText="1"/>
    </xf>
    <xf numFmtId="0" fontId="8" fillId="6" borderId="3" xfId="0" applyFont="1" applyFill="1" applyBorder="1" applyAlignment="1">
      <alignment horizontal="left" vertical="center" wrapText="1"/>
    </xf>
    <xf numFmtId="0" fontId="8" fillId="6" borderId="2" xfId="0" quotePrefix="1" applyFont="1" applyFill="1" applyBorder="1" applyAlignment="1">
      <alignment horizontal="left" vertical="center"/>
    </xf>
    <xf numFmtId="0" fontId="8" fillId="6" borderId="3" xfId="0" quotePrefix="1" applyFont="1" applyFill="1" applyBorder="1" applyAlignment="1">
      <alignment horizontal="left" vertical="center"/>
    </xf>
    <xf numFmtId="0" fontId="43" fillId="0" borderId="9" xfId="0" applyFont="1" applyBorder="1" applyAlignment="1">
      <alignment horizontal="center" vertical="center"/>
    </xf>
    <xf numFmtId="0" fontId="43" fillId="0" borderId="47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0" fontId="43" fillId="0" borderId="39" xfId="0" applyFont="1" applyBorder="1" applyAlignment="1">
      <alignment horizontal="center" vertical="center"/>
    </xf>
    <xf numFmtId="0" fontId="43" fillId="0" borderId="50" xfId="0" applyFont="1" applyBorder="1" applyAlignment="1">
      <alignment horizontal="center" vertical="center"/>
    </xf>
    <xf numFmtId="0" fontId="43" fillId="0" borderId="38" xfId="0" applyFont="1" applyBorder="1" applyAlignment="1">
      <alignment horizontal="center" vertical="center"/>
    </xf>
    <xf numFmtId="0" fontId="43" fillId="0" borderId="11" xfId="0" applyFont="1" applyBorder="1" applyAlignment="1">
      <alignment horizontal="center" vertical="center"/>
    </xf>
    <xf numFmtId="0" fontId="43" fillId="0" borderId="40" xfId="0" applyFont="1" applyBorder="1" applyAlignment="1">
      <alignment horizontal="center" vertical="center"/>
    </xf>
    <xf numFmtId="0" fontId="43" fillId="0" borderId="59" xfId="0" applyFont="1" applyBorder="1" applyAlignment="1">
      <alignment horizontal="center" vertical="center"/>
    </xf>
    <xf numFmtId="0" fontId="43" fillId="0" borderId="58" xfId="0" applyFont="1" applyBorder="1" applyAlignment="1">
      <alignment horizontal="center" vertical="center"/>
    </xf>
    <xf numFmtId="176" fontId="37" fillId="0" borderId="11" xfId="0" applyNumberFormat="1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/>
    </xf>
    <xf numFmtId="0" fontId="38" fillId="9" borderId="24" xfId="0" applyFont="1" applyFill="1" applyBorder="1" applyAlignment="1">
      <alignment horizontal="center" vertical="center" wrapText="1"/>
    </xf>
    <xf numFmtId="0" fontId="38" fillId="9" borderId="26" xfId="0" applyFont="1" applyFill="1" applyBorder="1" applyAlignment="1">
      <alignment horizontal="center" vertical="center" wrapText="1"/>
    </xf>
    <xf numFmtId="0" fontId="38" fillId="9" borderId="29" xfId="0" applyFont="1" applyFill="1" applyBorder="1" applyAlignment="1">
      <alignment horizontal="center" vertical="center" wrapText="1"/>
    </xf>
    <xf numFmtId="0" fontId="38" fillId="9" borderId="31" xfId="0" applyFont="1" applyFill="1" applyBorder="1" applyAlignment="1">
      <alignment horizontal="center" vertical="center" wrapText="1"/>
    </xf>
    <xf numFmtId="0" fontId="43" fillId="12" borderId="24" xfId="0" applyFont="1" applyFill="1" applyBorder="1" applyAlignment="1">
      <alignment horizontal="center" vertical="center"/>
    </xf>
    <xf numFmtId="0" fontId="43" fillId="12" borderId="26" xfId="0" applyFont="1" applyFill="1" applyBorder="1" applyAlignment="1">
      <alignment horizontal="center" vertical="center"/>
    </xf>
    <xf numFmtId="0" fontId="43" fillId="12" borderId="29" xfId="0" applyFont="1" applyFill="1" applyBorder="1" applyAlignment="1">
      <alignment horizontal="center" vertical="center"/>
    </xf>
    <xf numFmtId="0" fontId="43" fillId="12" borderId="31" xfId="0" applyFont="1" applyFill="1" applyBorder="1" applyAlignment="1">
      <alignment horizontal="center" vertical="center"/>
    </xf>
    <xf numFmtId="0" fontId="37" fillId="7" borderId="24" xfId="0" applyFont="1" applyFill="1" applyBorder="1" applyAlignment="1">
      <alignment horizontal="center" vertical="center" wrapText="1"/>
    </xf>
    <xf numFmtId="0" fontId="37" fillId="7" borderId="25" xfId="0" applyFont="1" applyFill="1" applyBorder="1" applyAlignment="1">
      <alignment horizontal="center" vertical="center" wrapText="1"/>
    </xf>
    <xf numFmtId="0" fontId="37" fillId="7" borderId="26" xfId="0" applyFont="1" applyFill="1" applyBorder="1" applyAlignment="1">
      <alignment horizontal="center" vertical="center" wrapText="1"/>
    </xf>
    <xf numFmtId="0" fontId="37" fillId="7" borderId="27" xfId="0" applyFont="1" applyFill="1" applyBorder="1" applyAlignment="1">
      <alignment horizontal="center" vertical="center" wrapText="1"/>
    </xf>
    <xf numFmtId="0" fontId="37" fillId="7" borderId="0" xfId="0" applyFont="1" applyFill="1" applyAlignment="1">
      <alignment horizontal="center" vertical="center" wrapText="1"/>
    </xf>
    <xf numFmtId="0" fontId="37" fillId="7" borderId="28" xfId="0" applyFont="1" applyFill="1" applyBorder="1" applyAlignment="1">
      <alignment horizontal="center" vertical="center" wrapText="1"/>
    </xf>
    <xf numFmtId="0" fontId="37" fillId="7" borderId="29" xfId="0" applyFont="1" applyFill="1" applyBorder="1" applyAlignment="1">
      <alignment horizontal="center" vertical="center" wrapText="1"/>
    </xf>
    <xf numFmtId="0" fontId="37" fillId="7" borderId="30" xfId="0" applyFont="1" applyFill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center" vertical="center" wrapText="1"/>
    </xf>
    <xf numFmtId="176" fontId="34" fillId="10" borderId="18" xfId="0" applyNumberFormat="1" applyFont="1" applyFill="1" applyBorder="1" applyAlignment="1">
      <alignment horizontal="center" vertical="center"/>
    </xf>
    <xf numFmtId="176" fontId="34" fillId="10" borderId="48" xfId="0" applyNumberFormat="1" applyFont="1" applyFill="1" applyBorder="1" applyAlignment="1">
      <alignment horizontal="center" vertical="center"/>
    </xf>
    <xf numFmtId="176" fontId="34" fillId="10" borderId="32" xfId="0" applyNumberFormat="1" applyFont="1" applyFill="1" applyBorder="1" applyAlignment="1">
      <alignment horizontal="center" vertical="center"/>
    </xf>
    <xf numFmtId="176" fontId="34" fillId="10" borderId="34" xfId="0" applyNumberFormat="1" applyFont="1" applyFill="1" applyBorder="1" applyAlignment="1">
      <alignment horizontal="center" vertical="center"/>
    </xf>
    <xf numFmtId="176" fontId="34" fillId="10" borderId="23" xfId="0" applyNumberFormat="1" applyFont="1" applyFill="1" applyBorder="1" applyAlignment="1">
      <alignment horizontal="center" vertical="center"/>
    </xf>
    <xf numFmtId="176" fontId="34" fillId="10" borderId="49" xfId="0" applyNumberFormat="1" applyFont="1" applyFill="1" applyBorder="1" applyAlignment="1">
      <alignment horizontal="center" vertical="center"/>
    </xf>
    <xf numFmtId="176" fontId="34" fillId="10" borderId="37" xfId="0" applyNumberFormat="1" applyFont="1" applyFill="1" applyBorder="1" applyAlignment="1">
      <alignment horizontal="center" vertical="center"/>
    </xf>
    <xf numFmtId="176" fontId="34" fillId="10" borderId="36" xfId="0" applyNumberFormat="1" applyFont="1" applyFill="1" applyBorder="1" applyAlignment="1">
      <alignment horizontal="center" vertical="center"/>
    </xf>
    <xf numFmtId="0" fontId="41" fillId="6" borderId="24" xfId="0" applyFont="1" applyFill="1" applyBorder="1" applyAlignment="1">
      <alignment horizontal="center" vertical="center"/>
    </xf>
    <xf numFmtId="0" fontId="41" fillId="6" borderId="29" xfId="0" applyFont="1" applyFill="1" applyBorder="1" applyAlignment="1">
      <alignment horizontal="center" vertical="center"/>
    </xf>
    <xf numFmtId="0" fontId="18" fillId="8" borderId="9" xfId="0" applyFont="1" applyFill="1" applyBorder="1" applyAlignment="1">
      <alignment horizontal="center" vertical="center"/>
    </xf>
    <xf numFmtId="0" fontId="18" fillId="8" borderId="10" xfId="0" applyFont="1" applyFill="1" applyBorder="1" applyAlignment="1">
      <alignment horizontal="center" vertical="center"/>
    </xf>
    <xf numFmtId="0" fontId="18" fillId="8" borderId="21" xfId="0" applyFont="1" applyFill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0" fontId="34" fillId="10" borderId="18" xfId="0" applyFont="1" applyFill="1" applyBorder="1" applyAlignment="1">
      <alignment horizontal="center" vertical="center"/>
    </xf>
    <xf numFmtId="0" fontId="34" fillId="10" borderId="48" xfId="0" applyFont="1" applyFill="1" applyBorder="1" applyAlignment="1">
      <alignment horizontal="center" vertical="center"/>
    </xf>
    <xf numFmtId="0" fontId="34" fillId="10" borderId="32" xfId="0" applyFont="1" applyFill="1" applyBorder="1" applyAlignment="1">
      <alignment horizontal="center" vertical="center"/>
    </xf>
    <xf numFmtId="0" fontId="34" fillId="10" borderId="34" xfId="0" applyFont="1" applyFill="1" applyBorder="1" applyAlignment="1">
      <alignment horizontal="center" vertical="center"/>
    </xf>
    <xf numFmtId="0" fontId="44" fillId="6" borderId="24" xfId="0" applyFont="1" applyFill="1" applyBorder="1" applyAlignment="1">
      <alignment horizontal="center" vertical="center"/>
    </xf>
    <xf numFmtId="0" fontId="44" fillId="6" borderId="26" xfId="0" applyFont="1" applyFill="1" applyBorder="1" applyAlignment="1">
      <alignment horizontal="center" vertical="center"/>
    </xf>
    <xf numFmtId="0" fontId="44" fillId="6" borderId="29" xfId="0" applyFont="1" applyFill="1" applyBorder="1" applyAlignment="1">
      <alignment horizontal="center" vertical="center"/>
    </xf>
    <xf numFmtId="0" fontId="44" fillId="6" borderId="31" xfId="0" applyFont="1" applyFill="1" applyBorder="1" applyAlignment="1">
      <alignment horizontal="center" vertical="center"/>
    </xf>
    <xf numFmtId="9" fontId="44" fillId="6" borderId="24" xfId="0" applyNumberFormat="1" applyFont="1" applyFill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176" fontId="37" fillId="0" borderId="40" xfId="0" applyNumberFormat="1" applyFont="1" applyBorder="1" applyAlignment="1">
      <alignment horizontal="center" vertical="center"/>
    </xf>
    <xf numFmtId="176" fontId="37" fillId="0" borderId="61" xfId="0" applyNumberFormat="1" applyFont="1" applyBorder="1" applyAlignment="1">
      <alignment horizontal="center" vertical="center"/>
    </xf>
    <xf numFmtId="0" fontId="37" fillId="0" borderId="61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42" xfId="0" applyFont="1" applyBorder="1" applyAlignment="1">
      <alignment horizontal="center" vertical="center"/>
    </xf>
    <xf numFmtId="9" fontId="37" fillId="0" borderId="61" xfId="0" applyNumberFormat="1" applyFont="1" applyBorder="1" applyAlignment="1">
      <alignment horizontal="right" vertical="center"/>
    </xf>
    <xf numFmtId="9" fontId="37" fillId="0" borderId="43" xfId="0" applyNumberFormat="1" applyFont="1" applyBorder="1" applyAlignment="1">
      <alignment horizontal="right" vertical="center"/>
    </xf>
    <xf numFmtId="0" fontId="37" fillId="6" borderId="24" xfId="0" applyFont="1" applyFill="1" applyBorder="1" applyAlignment="1">
      <alignment horizontal="center" vertical="center"/>
    </xf>
    <xf numFmtId="0" fontId="37" fillId="6" borderId="29" xfId="0" applyFont="1" applyFill="1" applyBorder="1" applyAlignment="1">
      <alignment horizontal="center" vertical="center"/>
    </xf>
    <xf numFmtId="0" fontId="44" fillId="6" borderId="19" xfId="0" applyFont="1" applyFill="1" applyBorder="1" applyAlignment="1">
      <alignment horizontal="center" vertical="center"/>
    </xf>
    <xf numFmtId="0" fontId="44" fillId="6" borderId="20" xfId="0" applyFont="1" applyFill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9" fontId="37" fillId="0" borderId="51" xfId="0" applyNumberFormat="1" applyFont="1" applyBorder="1" applyAlignment="1">
      <alignment horizontal="center" vertical="center"/>
    </xf>
    <xf numFmtId="9" fontId="37" fillId="0" borderId="17" xfId="0" applyNumberFormat="1" applyFont="1" applyBorder="1" applyAlignment="1">
      <alignment horizontal="center" vertical="center"/>
    </xf>
    <xf numFmtId="176" fontId="37" fillId="0" borderId="51" xfId="0" applyNumberFormat="1" applyFont="1" applyBorder="1" applyAlignment="1">
      <alignment horizontal="center" vertical="center"/>
    </xf>
    <xf numFmtId="176" fontId="37" fillId="0" borderId="17" xfId="0" applyNumberFormat="1" applyFont="1" applyBorder="1" applyAlignment="1">
      <alignment horizontal="center" vertical="center"/>
    </xf>
    <xf numFmtId="0" fontId="43" fillId="0" borderId="88" xfId="0" applyFont="1" applyBorder="1" applyAlignment="1">
      <alignment horizontal="center" vertical="center"/>
    </xf>
    <xf numFmtId="0" fontId="43" fillId="0" borderId="89" xfId="0" applyFont="1" applyBorder="1" applyAlignment="1">
      <alignment horizontal="center" vertical="center"/>
    </xf>
    <xf numFmtId="0" fontId="43" fillId="0" borderId="90" xfId="0" applyFont="1" applyBorder="1" applyAlignment="1">
      <alignment horizontal="center" vertical="center"/>
    </xf>
    <xf numFmtId="0" fontId="43" fillId="0" borderId="52" xfId="0" applyFont="1" applyBorder="1" applyAlignment="1">
      <alignment horizontal="center" vertical="center"/>
    </xf>
    <xf numFmtId="0" fontId="43" fillId="0" borderId="35" xfId="0" applyFont="1" applyBorder="1" applyAlignment="1">
      <alignment horizontal="center" vertical="center"/>
    </xf>
    <xf numFmtId="0" fontId="43" fillId="0" borderId="91" xfId="0" applyFont="1" applyBorder="1" applyAlignment="1">
      <alignment horizontal="center" vertical="center"/>
    </xf>
    <xf numFmtId="0" fontId="50" fillId="3" borderId="55" xfId="0" applyFont="1" applyFill="1" applyBorder="1" applyAlignment="1">
      <alignment horizontal="center" vertical="center"/>
    </xf>
    <xf numFmtId="0" fontId="24" fillId="3" borderId="55" xfId="0" applyFont="1" applyFill="1" applyBorder="1" applyAlignment="1">
      <alignment horizontal="left" vertical="center"/>
    </xf>
    <xf numFmtId="0" fontId="50" fillId="3" borderId="55" xfId="0" applyFont="1" applyFill="1" applyBorder="1" applyAlignment="1">
      <alignment horizontal="left" vertical="center"/>
    </xf>
    <xf numFmtId="0" fontId="30" fillId="0" borderId="1" xfId="0" applyFont="1" applyBorder="1" applyAlignment="1">
      <alignment horizontal="left" vertical="center"/>
    </xf>
    <xf numFmtId="0" fontId="65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0" fillId="7" borderId="0" xfId="0" applyFill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21" fillId="0" borderId="2" xfId="5" applyFont="1" applyBorder="1" applyAlignment="1">
      <alignment horizontal="center" vertical="center"/>
    </xf>
    <xf numFmtId="176" fontId="21" fillId="0" borderId="3" xfId="5" applyFont="1" applyBorder="1" applyAlignment="1">
      <alignment horizontal="center" vertical="center"/>
    </xf>
    <xf numFmtId="176" fontId="20" fillId="4" borderId="2" xfId="5" applyFont="1" applyFill="1" applyBorder="1" applyAlignment="1">
      <alignment horizontal="center" vertical="center"/>
    </xf>
    <xf numFmtId="176" fontId="20" fillId="4" borderId="3" xfId="5" applyFont="1" applyFill="1" applyBorder="1" applyAlignment="1">
      <alignment horizontal="center" vertical="center"/>
    </xf>
    <xf numFmtId="0" fontId="48" fillId="3" borderId="55" xfId="0" applyFont="1" applyFill="1" applyBorder="1" applyAlignment="1">
      <alignment horizontal="center" vertical="center"/>
    </xf>
    <xf numFmtId="0" fontId="8" fillId="3" borderId="55" xfId="0" applyFont="1" applyFill="1" applyBorder="1" applyAlignment="1">
      <alignment horizontal="left" vertical="center"/>
    </xf>
  </cellXfs>
  <cellStyles count="18">
    <cellStyle name="백분율" xfId="2" builtinId="5"/>
    <cellStyle name="백분율 2" xfId="10" xr:uid="{3168B883-8825-413A-8F1C-A77D43D6258D}"/>
    <cellStyle name="쉼표 [0]" xfId="5" builtinId="6"/>
    <cellStyle name="쉼표 [0] 2" xfId="4" xr:uid="{C82B734C-D837-4A08-B1C4-A6BC6C794936}"/>
    <cellStyle name="쉼표 [0] 2 2" xfId="15" xr:uid="{87B53B8E-2D10-411D-8EEE-C3627416EAF2}"/>
    <cellStyle name="쉼표 [0] 2 3" xfId="12" xr:uid="{A7AEA6B8-F573-4278-85BB-AD48606FA80D}"/>
    <cellStyle name="쉼표 [0] 3" xfId="13" xr:uid="{3541024A-98B6-4526-9B1A-FD3B870167B8}"/>
    <cellStyle name="쉼표 [0] 4" xfId="16" xr:uid="{51FBE302-8A80-4C10-B0FC-0D5C44B8921A}"/>
    <cellStyle name="표준" xfId="0" builtinId="0"/>
    <cellStyle name="표준 2" xfId="1" xr:uid="{12DCD948-4E98-452C-B353-D28A7394E663}"/>
    <cellStyle name="표준 2 10" xfId="7" xr:uid="{EA947FA5-C6E2-48A3-8AD0-56CAD193C6C7}"/>
    <cellStyle name="표준 2 3" xfId="8" xr:uid="{22204BF1-E169-4366-BDAE-AF2E6A5644A5}"/>
    <cellStyle name="표준 3" xfId="3" xr:uid="{56E0341B-484D-4544-8CBF-29F592A4CBA2}"/>
    <cellStyle name="표준 3 2" xfId="14" xr:uid="{2F976782-C09C-4A29-94E7-F17897BA90A0}"/>
    <cellStyle name="표준 3 3" xfId="11" xr:uid="{2CE17A20-F6FB-415D-9864-43F34E5F3618}"/>
    <cellStyle name="표준 4" xfId="9" xr:uid="{64B1EA73-58AF-492C-8531-D0FD8D2FD209}"/>
    <cellStyle name="표준 5" xfId="6" xr:uid="{84FB4A6B-6229-47A3-B25E-F81B4683E54F}"/>
    <cellStyle name="하이퍼링크" xfId="17" builtinId="8"/>
  </cellStyles>
  <dxfs count="0"/>
  <tableStyles count="0" defaultTableStyle="TableStyleMedium2" defaultPivotStyle="PivotStyleLight16"/>
  <colors>
    <mruColors>
      <color rgb="FFFADADF"/>
      <color rgb="FFEE1270"/>
      <color rgb="FFFA5D06"/>
      <color rgb="FFF095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3/09/relationships/Python" Target="pyth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9.emf"/><Relationship Id="rId1" Type="http://schemas.openxmlformats.org/officeDocument/2006/relationships/image" Target="../media/image8.png"/><Relationship Id="rId4" Type="http://schemas.openxmlformats.org/officeDocument/2006/relationships/image" Target="../media/image1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13.emf"/><Relationship Id="rId1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192403</xdr:colOff>
      <xdr:row>6</xdr:row>
      <xdr:rowOff>133179</xdr:rowOff>
    </xdr:from>
    <xdr:to>
      <xdr:col>10</xdr:col>
      <xdr:colOff>17317</xdr:colOff>
      <xdr:row>9</xdr:row>
      <xdr:rowOff>136468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32F113FD-75ED-984D-3E7A-D3D388380864}"/>
            </a:ext>
          </a:extLst>
        </xdr:cNvPr>
        <xdr:cNvGrpSpPr/>
      </xdr:nvGrpSpPr>
      <xdr:grpSpPr>
        <a:xfrm>
          <a:off x="15340039" y="1657179"/>
          <a:ext cx="3380914" cy="742198"/>
          <a:chOff x="15387579" y="1657179"/>
          <a:chExt cx="3388385" cy="742877"/>
        </a:xfrm>
      </xdr:grpSpPr>
      <xdr:sp macro="" textlink="">
        <xdr:nvSpPr>
          <xdr:cNvPr id="3" name="화살표: 갈매기형 수장 2">
            <a:extLst>
              <a:ext uri="{FF2B5EF4-FFF2-40B4-BE49-F238E27FC236}">
                <a16:creationId xmlns:a16="http://schemas.microsoft.com/office/drawing/2014/main" id="{3E28E3C2-8974-4F03-90FF-078AC6FA4FB0}"/>
              </a:ext>
            </a:extLst>
          </xdr:cNvPr>
          <xdr:cNvSpPr/>
        </xdr:nvSpPr>
        <xdr:spPr>
          <a:xfrm rot="10800000">
            <a:off x="15387579" y="1674196"/>
            <a:ext cx="535718" cy="725860"/>
          </a:xfrm>
          <a:prstGeom prst="chevron">
            <a:avLst/>
          </a:prstGeom>
          <a:solidFill>
            <a:srgbClr val="FF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4BDD5E13-4BC0-A1AE-F205-598CDA650E57}"/>
              </a:ext>
            </a:extLst>
          </xdr:cNvPr>
          <xdr:cNvSpPr txBox="1"/>
        </xdr:nvSpPr>
        <xdr:spPr>
          <a:xfrm>
            <a:off x="16668611" y="1680184"/>
            <a:ext cx="2107353" cy="698452"/>
          </a:xfrm>
          <a:prstGeom prst="rect">
            <a:avLst/>
          </a:prstGeom>
          <a:solidFill>
            <a:srgbClr val="FF0000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ko-KR" altLang="en-US" sz="2800" b="1">
                <a:solidFill>
                  <a:schemeClr val="bg1"/>
                </a:solidFill>
              </a:rPr>
              <a:t>항시 주의</a:t>
            </a:r>
            <a:r>
              <a:rPr lang="en-US" altLang="ko-KR" sz="2800" b="1">
                <a:solidFill>
                  <a:schemeClr val="bg1"/>
                </a:solidFill>
              </a:rPr>
              <a:t>!!!</a:t>
            </a:r>
            <a:endParaRPr lang="ko-KR" altLang="en-US" sz="2800" b="1">
              <a:solidFill>
                <a:schemeClr val="bg1"/>
              </a:solidFill>
            </a:endParaRPr>
          </a:p>
        </xdr:txBody>
      </xdr:sp>
      <xdr:sp macro="" textlink="">
        <xdr:nvSpPr>
          <xdr:cNvPr id="5" name="화살표: 갈매기형 수장 4">
            <a:extLst>
              <a:ext uri="{FF2B5EF4-FFF2-40B4-BE49-F238E27FC236}">
                <a16:creationId xmlns:a16="http://schemas.microsoft.com/office/drawing/2014/main" id="{5A56F10E-24E9-4163-A416-127E6AB40598}"/>
              </a:ext>
            </a:extLst>
          </xdr:cNvPr>
          <xdr:cNvSpPr/>
        </xdr:nvSpPr>
        <xdr:spPr>
          <a:xfrm rot="10800000">
            <a:off x="15965931" y="1657179"/>
            <a:ext cx="569726" cy="741294"/>
          </a:xfrm>
          <a:prstGeom prst="chevron">
            <a:avLst/>
          </a:prstGeom>
          <a:solidFill>
            <a:srgbClr val="FF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2644990</xdr:colOff>
      <xdr:row>8</xdr:row>
      <xdr:rowOff>60725</xdr:rowOff>
    </xdr:from>
    <xdr:ext cx="376230" cy="394906"/>
    <xdr:pic>
      <xdr:nvPicPr>
        <xdr:cNvPr id="4" name="그림 3">
          <a:extLst>
            <a:ext uri="{FF2B5EF4-FFF2-40B4-BE49-F238E27FC236}">
              <a16:creationId xmlns:a16="http://schemas.microsoft.com/office/drawing/2014/main" id="{4FCF60D7-FAC3-4F1D-99A7-9DC7BB448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13137" y="2257078"/>
          <a:ext cx="376230" cy="394906"/>
        </a:xfrm>
        <a:prstGeom prst="rect">
          <a:avLst/>
        </a:prstGeom>
      </xdr:spPr>
    </xdr:pic>
    <xdr:clientData/>
  </xdr:oneCellAnchor>
  <xdr:twoCellAnchor editAs="oneCell">
    <xdr:from>
      <xdr:col>7</xdr:col>
      <xdr:colOff>1094254</xdr:colOff>
      <xdr:row>2</xdr:row>
      <xdr:rowOff>4485</xdr:rowOff>
    </xdr:from>
    <xdr:to>
      <xdr:col>8</xdr:col>
      <xdr:colOff>554468</xdr:colOff>
      <xdr:row>3</xdr:row>
      <xdr:rowOff>129804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9DBA028-17C2-47DD-B6CF-3AD3D491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7807" y="551332"/>
          <a:ext cx="2249582" cy="438523"/>
        </a:xfrm>
        <a:prstGeom prst="rect">
          <a:avLst/>
        </a:prstGeom>
      </xdr:spPr>
    </xdr:pic>
    <xdr:clientData/>
  </xdr:twoCellAnchor>
  <xdr:twoCellAnchor editAs="oneCell">
    <xdr:from>
      <xdr:col>1</xdr:col>
      <xdr:colOff>1029260</xdr:colOff>
      <xdr:row>1</xdr:row>
      <xdr:rowOff>210894</xdr:rowOff>
    </xdr:from>
    <xdr:to>
      <xdr:col>1</xdr:col>
      <xdr:colOff>1923864</xdr:colOff>
      <xdr:row>4</xdr:row>
      <xdr:rowOff>170469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1310B7AB-9678-4A28-805E-2C27920A0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742" y="435012"/>
          <a:ext cx="894604" cy="939193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584611</xdr:colOff>
          <xdr:row>8</xdr:row>
          <xdr:rowOff>218402</xdr:rowOff>
        </xdr:from>
        <xdr:to>
          <xdr:col>4</xdr:col>
          <xdr:colOff>154305</xdr:colOff>
          <xdr:row>14</xdr:row>
          <xdr:rowOff>20954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2BEAA1B3-41B5-E0C3-BFDD-B06D3586D35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L$9:$M$13" spid="_x0000_s56065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976817" y="2414755"/>
              <a:ext cx="3887769" cy="120687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631339</xdr:colOff>
          <xdr:row>9</xdr:row>
          <xdr:rowOff>-1</xdr:rowOff>
        </xdr:from>
        <xdr:to>
          <xdr:col>7</xdr:col>
          <xdr:colOff>2764042</xdr:colOff>
          <xdr:row>14</xdr:row>
          <xdr:rowOff>0</xdr:rowOff>
        </xdr:to>
        <xdr:pic>
          <xdr:nvPicPr>
            <xdr:cNvPr id="6" name="그림 5">
              <a:extLst>
                <a:ext uri="{FF2B5EF4-FFF2-40B4-BE49-F238E27FC236}">
                  <a16:creationId xmlns:a16="http://schemas.microsoft.com/office/drawing/2014/main" id="{40A5D492-78FA-66CE-ECB1-FE66F1CF3B5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P$9:$P$13" spid="_x0000_s56066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5752427" y="2420470"/>
              <a:ext cx="3585882" cy="118782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2322084</xdr:colOff>
      <xdr:row>10</xdr:row>
      <xdr:rowOff>12139</xdr:rowOff>
    </xdr:from>
    <xdr:ext cx="438373" cy="460135"/>
    <xdr:pic>
      <xdr:nvPicPr>
        <xdr:cNvPr id="7" name="그림 6">
          <a:extLst>
            <a:ext uri="{FF2B5EF4-FFF2-40B4-BE49-F238E27FC236}">
              <a16:creationId xmlns:a16="http://schemas.microsoft.com/office/drawing/2014/main" id="{441B4E2F-86B4-4352-A200-B52AAA5E4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68172" y="2679139"/>
          <a:ext cx="438373" cy="460135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663053</xdr:colOff>
          <xdr:row>8</xdr:row>
          <xdr:rowOff>87742</xdr:rowOff>
        </xdr:from>
        <xdr:to>
          <xdr:col>4</xdr:col>
          <xdr:colOff>94523</xdr:colOff>
          <xdr:row>14</xdr:row>
          <xdr:rowOff>22411</xdr:rowOff>
        </xdr:to>
        <xdr:pic>
          <xdr:nvPicPr>
            <xdr:cNvPr id="8" name="그림 7">
              <a:extLst>
                <a:ext uri="{FF2B5EF4-FFF2-40B4-BE49-F238E27FC236}">
                  <a16:creationId xmlns:a16="http://schemas.microsoft.com/office/drawing/2014/main" id="{A4B926CC-3F8F-7828-9DC7-A9E5434A45A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K$11:$L$15" spid="_x0000_s80129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055259" y="2284095"/>
              <a:ext cx="3764336" cy="135804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268939</xdr:colOff>
          <xdr:row>8</xdr:row>
          <xdr:rowOff>104662</xdr:rowOff>
        </xdr:from>
        <xdr:to>
          <xdr:col>8</xdr:col>
          <xdr:colOff>932412</xdr:colOff>
          <xdr:row>13</xdr:row>
          <xdr:rowOff>208876</xdr:rowOff>
        </xdr:to>
        <xdr:pic>
          <xdr:nvPicPr>
            <xdr:cNvPr id="9" name="그림 8">
              <a:extLst>
                <a:ext uri="{FF2B5EF4-FFF2-40B4-BE49-F238E27FC236}">
                  <a16:creationId xmlns:a16="http://schemas.microsoft.com/office/drawing/2014/main" id="{C6BBF362-FF5F-FAC0-9CC8-BD31415330E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N$11:$N$15" spid="_x0000_s80130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5602939" y="2301015"/>
              <a:ext cx="3513577" cy="1290357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1</xdr:col>
      <xdr:colOff>986117</xdr:colOff>
      <xdr:row>1</xdr:row>
      <xdr:rowOff>145676</xdr:rowOff>
    </xdr:from>
    <xdr:to>
      <xdr:col>1</xdr:col>
      <xdr:colOff>1882626</xdr:colOff>
      <xdr:row>4</xdr:row>
      <xdr:rowOff>97632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42DAD7C-9A1C-43E3-807A-F662B8A6E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8323" y="470647"/>
          <a:ext cx="900319" cy="9344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108856</xdr:rowOff>
    </xdr:from>
    <xdr:to>
      <xdr:col>1</xdr:col>
      <xdr:colOff>543415</xdr:colOff>
      <xdr:row>1</xdr:row>
      <xdr:rowOff>173300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F45FD39-9329-9748-63DB-F82120F35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6314" y="108856"/>
          <a:ext cx="543415" cy="5434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12700">
          <a:solidFill>
            <a:srgbClr val="FF0000"/>
          </a:solidFill>
          <a:headEnd type="triangle"/>
          <a:tailEnd type="triangl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mailto:topdi@topdignus.co.kr" TargetMode="External"/><Relationship Id="rId1" Type="http://schemas.openxmlformats.org/officeDocument/2006/relationships/hyperlink" Target="mailto:pl3077@naver.com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5CEB4-B78C-4DCD-9241-29C7BA548EAA}">
  <sheetPr codeName="Sheet2"/>
  <dimension ref="A1:P29"/>
  <sheetViews>
    <sheetView tabSelected="1" workbookViewId="0">
      <selection activeCell="U16" sqref="U16"/>
    </sheetView>
  </sheetViews>
  <sheetFormatPr baseColWidth="10" defaultColWidth="8.83203125" defaultRowHeight="17"/>
  <cols>
    <col min="2" max="2" width="13.1640625" bestFit="1" customWidth="1"/>
    <col min="3" max="3" width="21.1640625" customWidth="1"/>
    <col min="4" max="4" width="19.6640625" customWidth="1"/>
    <col min="5" max="6" width="11" bestFit="1" customWidth="1"/>
    <col min="7" max="7" width="11.1640625" bestFit="1" customWidth="1"/>
  </cols>
  <sheetData>
    <row r="1" spans="1:8">
      <c r="A1" s="4"/>
      <c r="B1" s="4"/>
      <c r="C1" s="4"/>
      <c r="D1" s="4"/>
      <c r="E1" s="4"/>
      <c r="F1" s="4"/>
      <c r="G1" s="4"/>
      <c r="H1" s="4"/>
    </row>
    <row r="2" spans="1:8">
      <c r="A2" s="4"/>
      <c r="B2" s="4"/>
      <c r="C2" s="4"/>
      <c r="D2" s="4"/>
      <c r="E2" s="4"/>
      <c r="F2" s="4"/>
      <c r="G2" s="4"/>
      <c r="H2" s="4"/>
    </row>
    <row r="3" spans="1:8">
      <c r="A3" s="4"/>
      <c r="B3" s="4"/>
      <c r="C3" s="4"/>
      <c r="D3" s="4"/>
      <c r="E3" s="4"/>
      <c r="F3" s="4"/>
      <c r="G3" s="4"/>
      <c r="H3" s="4"/>
    </row>
    <row r="4" spans="1:8" ht="18">
      <c r="A4" s="4"/>
      <c r="B4" s="234" t="s">
        <v>0</v>
      </c>
      <c r="C4" s="234"/>
      <c r="D4" s="234"/>
      <c r="E4" s="4"/>
      <c r="F4" s="232" t="s">
        <v>1</v>
      </c>
      <c r="G4" s="233"/>
      <c r="H4" s="4"/>
    </row>
    <row r="5" spans="1:8">
      <c r="A5" s="4"/>
      <c r="B5" s="2" t="s">
        <v>2</v>
      </c>
      <c r="C5" s="226" t="s">
        <v>130</v>
      </c>
      <c r="D5" s="227"/>
      <c r="E5" s="4"/>
      <c r="F5" s="5" t="s">
        <v>3</v>
      </c>
      <c r="G5" s="5" t="s">
        <v>48</v>
      </c>
      <c r="H5" s="4"/>
    </row>
    <row r="6" spans="1:8">
      <c r="A6" s="4"/>
      <c r="B6" s="2" t="s">
        <v>0</v>
      </c>
      <c r="C6" s="228">
        <v>46058</v>
      </c>
      <c r="D6" s="229"/>
      <c r="E6" s="4"/>
      <c r="F6" s="5"/>
      <c r="G6" s="5"/>
      <c r="H6" s="4"/>
    </row>
    <row r="7" spans="1:8">
      <c r="A7" s="4"/>
      <c r="B7" s="2" t="s">
        <v>4</v>
      </c>
      <c r="C7" s="230">
        <v>46072</v>
      </c>
      <c r="D7" s="231"/>
      <c r="E7" s="4"/>
      <c r="F7" s="5"/>
      <c r="G7" s="5"/>
      <c r="H7" s="4"/>
    </row>
    <row r="8" spans="1:8">
      <c r="A8" s="4"/>
      <c r="B8" s="2" t="s">
        <v>5</v>
      </c>
      <c r="C8" s="235" t="s">
        <v>131</v>
      </c>
      <c r="D8" s="236"/>
      <c r="E8" s="4"/>
      <c r="F8" s="2"/>
      <c r="G8" s="2"/>
      <c r="H8" s="4"/>
    </row>
    <row r="9" spans="1:8">
      <c r="A9" s="4"/>
      <c r="B9" s="2" t="s">
        <v>6</v>
      </c>
      <c r="C9" s="226" t="s">
        <v>123</v>
      </c>
      <c r="D9" s="227"/>
      <c r="E9" s="4"/>
      <c r="F9" s="5"/>
      <c r="G9" s="5"/>
      <c r="H9" s="4"/>
    </row>
    <row r="10" spans="1:8">
      <c r="A10" s="4"/>
      <c r="B10" s="2" t="s">
        <v>80</v>
      </c>
      <c r="C10" s="226" t="s">
        <v>124</v>
      </c>
      <c r="D10" s="227"/>
      <c r="E10" s="4"/>
      <c r="F10" s="5"/>
      <c r="G10" s="5"/>
      <c r="H10" s="4"/>
    </row>
    <row r="11" spans="1:8">
      <c r="A11" s="4"/>
      <c r="B11" s="2" t="s">
        <v>35</v>
      </c>
      <c r="C11" s="226" t="s">
        <v>125</v>
      </c>
      <c r="D11" s="227"/>
      <c r="E11" s="4"/>
      <c r="F11" s="5"/>
      <c r="G11" s="5"/>
      <c r="H11" s="4"/>
    </row>
    <row r="12" spans="1:8">
      <c r="A12" s="4"/>
      <c r="B12" s="2" t="s">
        <v>78</v>
      </c>
      <c r="C12" s="237" t="s">
        <v>126</v>
      </c>
      <c r="D12" s="238"/>
      <c r="E12" s="4"/>
      <c r="F12" s="5"/>
      <c r="G12" s="5"/>
      <c r="H12" s="4"/>
    </row>
    <row r="13" spans="1:8">
      <c r="A13" s="4"/>
      <c r="B13" s="2" t="s">
        <v>7</v>
      </c>
      <c r="C13" s="226" t="s">
        <v>127</v>
      </c>
      <c r="D13" s="227"/>
      <c r="E13" s="4"/>
      <c r="F13" s="5"/>
      <c r="G13" s="5"/>
      <c r="H13" s="4"/>
    </row>
    <row r="14" spans="1:8">
      <c r="A14" s="4"/>
      <c r="B14" s="2" t="s">
        <v>8</v>
      </c>
      <c r="C14" s="226" t="s">
        <v>132</v>
      </c>
      <c r="D14" s="227"/>
      <c r="E14" s="4"/>
      <c r="F14" s="5"/>
      <c r="G14" s="5"/>
      <c r="H14" s="4"/>
    </row>
    <row r="15" spans="1:8">
      <c r="A15" s="4"/>
      <c r="B15" s="4"/>
      <c r="C15" s="4"/>
      <c r="D15" s="4"/>
      <c r="E15" s="4"/>
      <c r="F15" s="4"/>
      <c r="G15" s="4"/>
      <c r="H15" s="4"/>
    </row>
    <row r="16" spans="1:8">
      <c r="A16" s="4"/>
      <c r="B16" s="4"/>
      <c r="C16" s="4"/>
      <c r="D16" s="4"/>
      <c r="E16" s="4"/>
      <c r="F16" s="4"/>
      <c r="G16" s="4"/>
      <c r="H16" s="4"/>
    </row>
    <row r="17" spans="1:16">
      <c r="A17" s="4"/>
      <c r="B17" s="14" t="s">
        <v>9</v>
      </c>
      <c r="C17" s="14"/>
      <c r="D17" s="14"/>
      <c r="E17" s="4"/>
      <c r="F17" s="4"/>
      <c r="G17" s="4"/>
      <c r="H17" s="4"/>
    </row>
    <row r="18" spans="1:16">
      <c r="A18" s="4"/>
      <c r="B18" s="14" t="s">
        <v>10</v>
      </c>
      <c r="C18" s="14"/>
      <c r="D18" s="14"/>
      <c r="E18" s="4"/>
      <c r="F18" s="4"/>
      <c r="G18" s="4"/>
      <c r="H18" s="4"/>
    </row>
    <row r="19" spans="1:16">
      <c r="A19" s="4"/>
      <c r="B19" s="14" t="s">
        <v>11</v>
      </c>
      <c r="C19" s="14"/>
      <c r="D19" s="14"/>
      <c r="E19" s="4"/>
      <c r="F19" s="4"/>
      <c r="G19" s="4"/>
      <c r="H19" s="4"/>
    </row>
    <row r="20" spans="1:16">
      <c r="A20" s="4"/>
      <c r="B20" s="14" t="s">
        <v>12</v>
      </c>
      <c r="C20" s="14"/>
      <c r="D20" s="14"/>
      <c r="E20" s="4"/>
      <c r="F20" s="4"/>
      <c r="G20" s="4"/>
      <c r="H20" s="4"/>
    </row>
    <row r="21" spans="1:16">
      <c r="A21" s="4"/>
      <c r="B21" s="14" t="s">
        <v>13</v>
      </c>
      <c r="C21" s="14"/>
      <c r="D21" s="14"/>
      <c r="E21" s="4"/>
      <c r="F21" s="4"/>
      <c r="G21" s="4"/>
      <c r="H21" s="4"/>
    </row>
    <row r="22" spans="1:16">
      <c r="A22" s="4"/>
      <c r="B22" s="4"/>
      <c r="C22" s="4"/>
      <c r="D22" s="4"/>
      <c r="E22" s="4"/>
      <c r="F22" s="4"/>
      <c r="G22" s="4"/>
      <c r="H22" s="4"/>
    </row>
    <row r="23" spans="1:16">
      <c r="A23" s="4"/>
      <c r="B23" s="4"/>
      <c r="C23" s="4"/>
      <c r="D23" s="4"/>
      <c r="E23" s="4"/>
      <c r="F23" s="4"/>
      <c r="G23" s="4"/>
      <c r="H23" s="4"/>
    </row>
    <row r="24" spans="1:16">
      <c r="A24" s="4"/>
      <c r="B24" s="4"/>
      <c r="C24" s="4"/>
      <c r="D24" s="4"/>
      <c r="E24" s="4"/>
      <c r="F24" s="4"/>
      <c r="G24" s="4"/>
      <c r="H24" s="4"/>
    </row>
    <row r="25" spans="1:16">
      <c r="A25" s="4"/>
      <c r="B25" s="4"/>
      <c r="C25" s="4"/>
      <c r="D25" s="4"/>
      <c r="E25" s="4"/>
      <c r="F25" s="4"/>
      <c r="G25" s="4"/>
      <c r="H25" s="4"/>
    </row>
    <row r="26" spans="1:16">
      <c r="A26" s="4"/>
      <c r="B26" s="4"/>
      <c r="C26" s="4"/>
      <c r="D26" s="4"/>
      <c r="E26" s="4"/>
      <c r="F26" s="4"/>
      <c r="G26" s="4"/>
      <c r="H26" s="4"/>
    </row>
    <row r="27" spans="1:16">
      <c r="A27" s="4"/>
      <c r="B27" s="4"/>
      <c r="C27" s="4"/>
      <c r="D27" s="4"/>
      <c r="E27" s="4"/>
      <c r="F27" s="4"/>
      <c r="G27" s="4"/>
      <c r="H27" s="4"/>
    </row>
    <row r="29" spans="1:16">
      <c r="P29" s="85"/>
    </row>
  </sheetData>
  <mergeCells count="12">
    <mergeCell ref="C14:D14"/>
    <mergeCell ref="C6:D6"/>
    <mergeCell ref="C7:D7"/>
    <mergeCell ref="C9:D9"/>
    <mergeCell ref="F4:G4"/>
    <mergeCell ref="B4:D4"/>
    <mergeCell ref="C5:D5"/>
    <mergeCell ref="C11:D11"/>
    <mergeCell ref="C13:D13"/>
    <mergeCell ref="C10:D10"/>
    <mergeCell ref="C8:D8"/>
    <mergeCell ref="C12:D1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&amp;L&amp;A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25E4E-F06B-4457-B1E2-5F1F5320070F}">
  <sheetPr codeName="Sheet3">
    <tabColor theme="7" tint="0.39997558519241921"/>
  </sheetPr>
  <dimension ref="A1:Y147"/>
  <sheetViews>
    <sheetView zoomScale="55" zoomScaleNormal="55" zoomScaleSheetLayoutView="40" workbookViewId="0">
      <pane ySplit="12" topLeftCell="A13" activePane="bottomLeft" state="frozen"/>
      <selection activeCell="C1" sqref="C1"/>
      <selection pane="bottomLeft" activeCell="F13" sqref="F13"/>
    </sheetView>
  </sheetViews>
  <sheetFormatPr baseColWidth="10" defaultColWidth="8.83203125" defaultRowHeight="17"/>
  <cols>
    <col min="2" max="2" width="14.6640625" bestFit="1" customWidth="1"/>
    <col min="3" max="3" width="42.83203125" bestFit="1" customWidth="1"/>
    <col min="4" max="4" width="34.33203125" customWidth="1"/>
    <col min="5" max="5" width="14.1640625" bestFit="1" customWidth="1"/>
    <col min="6" max="6" width="49.5" customWidth="1"/>
    <col min="7" max="7" width="34.83203125" customWidth="1"/>
    <col min="9" max="9" width="11.6640625" style="54" bestFit="1" customWidth="1"/>
    <col min="10" max="10" width="26.1640625" customWidth="1"/>
    <col min="11" max="11" width="50.1640625" bestFit="1" customWidth="1"/>
    <col min="12" max="12" width="12.83203125" style="54" customWidth="1"/>
    <col min="13" max="13" width="12.83203125" style="133" customWidth="1"/>
    <col min="14" max="14" width="12.83203125" style="54" customWidth="1"/>
    <col min="15" max="15" width="15.6640625" bestFit="1" customWidth="1"/>
    <col min="16" max="16" width="49.1640625" bestFit="1" customWidth="1"/>
    <col min="17" max="17" width="12.83203125" bestFit="1" customWidth="1"/>
    <col min="18" max="18" width="12" customWidth="1"/>
    <col min="19" max="19" width="10.6640625" bestFit="1" customWidth="1"/>
    <col min="20" max="21" width="12.1640625" customWidth="1"/>
    <col min="22" max="22" width="14" customWidth="1"/>
    <col min="23" max="23" width="18.6640625" bestFit="1" customWidth="1"/>
    <col min="24" max="24" width="18.1640625" bestFit="1" customWidth="1"/>
    <col min="25" max="25" width="20.6640625" bestFit="1" customWidth="1"/>
    <col min="28" max="28" width="8.83203125" customWidth="1"/>
    <col min="30" max="30" width="34.1640625" bestFit="1" customWidth="1"/>
    <col min="31" max="31" width="31.83203125" bestFit="1" customWidth="1"/>
    <col min="32" max="32" width="11.1640625" customWidth="1"/>
    <col min="37" max="37" width="33.5" bestFit="1" customWidth="1"/>
    <col min="38" max="38" width="15.33203125" customWidth="1"/>
  </cols>
  <sheetData>
    <row r="1" spans="2:25" ht="18" thickBot="1"/>
    <row r="2" spans="2:25" ht="21" customHeight="1">
      <c r="B2" s="259" t="s">
        <v>89</v>
      </c>
      <c r="C2" s="260"/>
      <c r="D2" s="261"/>
      <c r="F2" s="251" t="s">
        <v>49</v>
      </c>
      <c r="G2" s="252"/>
      <c r="H2" s="54"/>
      <c r="I2"/>
      <c r="L2"/>
      <c r="N2"/>
    </row>
    <row r="3" spans="2:25" ht="19.25" customHeight="1" thickBot="1">
      <c r="B3" s="262"/>
      <c r="C3" s="263"/>
      <c r="D3" s="264"/>
      <c r="F3" s="253"/>
      <c r="G3" s="254"/>
      <c r="H3" s="54"/>
      <c r="I3"/>
      <c r="L3"/>
      <c r="N3"/>
    </row>
    <row r="4" spans="2:25" ht="19.75" customHeight="1" thickBot="1">
      <c r="B4" s="262"/>
      <c r="C4" s="263"/>
      <c r="D4" s="264"/>
      <c r="F4" s="58"/>
      <c r="G4" s="42"/>
      <c r="H4" s="43"/>
      <c r="I4" s="55"/>
      <c r="J4" s="43"/>
      <c r="K4" s="43"/>
      <c r="L4" s="43"/>
      <c r="M4" s="134"/>
    </row>
    <row r="5" spans="2:25" ht="21" customHeight="1">
      <c r="B5" s="262"/>
      <c r="C5" s="263"/>
      <c r="D5" s="264"/>
      <c r="F5" s="255" t="s">
        <v>50</v>
      </c>
      <c r="G5" s="256"/>
      <c r="H5" s="54"/>
      <c r="I5"/>
      <c r="L5"/>
      <c r="N5"/>
    </row>
    <row r="6" spans="2:25" ht="21" customHeight="1" thickBot="1">
      <c r="B6" s="265"/>
      <c r="C6" s="266"/>
      <c r="D6" s="267"/>
      <c r="F6" s="257"/>
      <c r="G6" s="258"/>
      <c r="H6" s="54"/>
      <c r="I6"/>
      <c r="L6"/>
      <c r="N6"/>
    </row>
    <row r="7" spans="2:25" ht="21" customHeight="1" thickBot="1">
      <c r="B7" s="95"/>
      <c r="C7" s="95"/>
      <c r="D7" s="95"/>
      <c r="E7" s="54"/>
      <c r="H7" s="54"/>
      <c r="I7"/>
      <c r="L7"/>
      <c r="N7"/>
      <c r="O7" s="43"/>
    </row>
    <row r="8" spans="2:25" ht="19.75" customHeight="1">
      <c r="B8" s="276" t="s">
        <v>47</v>
      </c>
      <c r="C8" s="286" t="s">
        <v>48</v>
      </c>
      <c r="D8" s="287"/>
      <c r="F8" s="290" t="e">
        <f>#REF!</f>
        <v>#REF!</v>
      </c>
      <c r="G8" s="287"/>
      <c r="L8"/>
      <c r="N8"/>
    </row>
    <row r="9" spans="2:25" ht="18" customHeight="1" thickBot="1">
      <c r="B9" s="277"/>
      <c r="C9" s="288"/>
      <c r="D9" s="289"/>
      <c r="F9" s="288"/>
      <c r="G9" s="289"/>
      <c r="I9" s="59"/>
      <c r="J9" s="44"/>
    </row>
    <row r="10" spans="2:25" ht="18" thickBot="1"/>
    <row r="11" spans="2:25" ht="18">
      <c r="B11" s="278" t="s">
        <v>37</v>
      </c>
      <c r="C11" s="279"/>
      <c r="D11" s="279"/>
      <c r="E11" s="279"/>
      <c r="F11" s="279"/>
      <c r="G11" s="279"/>
      <c r="H11" s="279"/>
      <c r="I11" s="279"/>
      <c r="J11" s="279"/>
      <c r="K11" s="279"/>
      <c r="L11" s="279"/>
      <c r="M11" s="279"/>
      <c r="N11" s="279"/>
      <c r="O11" s="279"/>
      <c r="P11" s="279"/>
      <c r="Q11" s="279"/>
      <c r="R11" s="279"/>
      <c r="S11" s="279"/>
      <c r="T11" s="279"/>
      <c r="U11" s="280"/>
      <c r="V11" s="280"/>
      <c r="W11" s="280"/>
      <c r="X11" s="280"/>
      <c r="Y11" s="281"/>
    </row>
    <row r="12" spans="2:25" ht="18" thickBot="1">
      <c r="B12" s="89"/>
      <c r="C12" s="90" t="s">
        <v>45</v>
      </c>
      <c r="D12" s="90" t="s">
        <v>41</v>
      </c>
      <c r="E12" s="90" t="s">
        <v>38</v>
      </c>
      <c r="F12" s="90" t="s">
        <v>145</v>
      </c>
      <c r="G12" s="90" t="s">
        <v>14</v>
      </c>
      <c r="H12" s="90" t="s">
        <v>15</v>
      </c>
      <c r="I12" s="91" t="s">
        <v>16</v>
      </c>
      <c r="J12" s="90" t="s">
        <v>51</v>
      </c>
      <c r="K12" s="90" t="s">
        <v>28</v>
      </c>
      <c r="L12" s="91" t="s">
        <v>54</v>
      </c>
      <c r="M12" s="135" t="s">
        <v>129</v>
      </c>
      <c r="N12" s="91" t="s">
        <v>73</v>
      </c>
      <c r="O12" s="90" t="s">
        <v>55</v>
      </c>
      <c r="P12" s="90" t="s">
        <v>56</v>
      </c>
      <c r="Q12" s="90" t="s">
        <v>69</v>
      </c>
      <c r="R12" s="90" t="s">
        <v>74</v>
      </c>
      <c r="S12" s="90" t="s">
        <v>59</v>
      </c>
      <c r="T12" s="92" t="s">
        <v>40</v>
      </c>
      <c r="U12" s="93" t="s">
        <v>75</v>
      </c>
      <c r="V12" s="93" t="s">
        <v>42</v>
      </c>
      <c r="W12" s="93" t="s">
        <v>77</v>
      </c>
      <c r="X12" s="93" t="s">
        <v>76</v>
      </c>
      <c r="Y12" s="94" t="s">
        <v>19</v>
      </c>
    </row>
    <row r="13" spans="2:25" ht="26.5" customHeight="1">
      <c r="B13" s="34">
        <v>1</v>
      </c>
      <c r="C13" s="40" t="s">
        <v>87</v>
      </c>
      <c r="D13" s="40" t="s">
        <v>143</v>
      </c>
      <c r="E13" s="41" t="s">
        <v>88</v>
      </c>
      <c r="F13" s="152" t="s">
        <v>128</v>
      </c>
      <c r="G13" s="37" t="s">
        <v>144</v>
      </c>
      <c r="H13" s="37" t="s">
        <v>61</v>
      </c>
      <c r="I13" s="60">
        <v>3</v>
      </c>
      <c r="J13" s="37"/>
      <c r="K13" s="45" t="e">
        <f>IF(V13=0,
    "판매가 없음",
    _xlfn.XLOOKUP(
        C13 &amp; "|" &amp; D13 &amp; "|" &amp; E13,#REF!,#REF!,
        "0"
    )
)</f>
        <v>#REF!</v>
      </c>
      <c r="L13" s="56" t="e">
        <f>_xlfn.XLOOKUP(
    C13 &amp; "|" &amp; D13 &amp; "|" &amp; E13,#REF!,#REF!,
   0
)</f>
        <v>#REF!</v>
      </c>
      <c r="M13" s="136" t="e">
        <f>_xlfn.XLOOKUP(
    C13 &amp; "|" &amp; D13 &amp; "|" &amp; E13,#REF!,#REF!,
   0
)</f>
        <v>#REF!</v>
      </c>
      <c r="N13" s="56" t="e">
        <f>_xlfn.XLOOKUP(
    C13 &amp; "|" &amp; D13 &amp; "|" &amp; E13,#REF!,#REF!,
   0
)</f>
        <v>#REF!</v>
      </c>
      <c r="O13" s="45" t="e">
        <f>L13*I13</f>
        <v>#REF!</v>
      </c>
      <c r="P13" s="45" t="e">
        <f>_xlfn.XLOOKUP(
    C13 &amp; "|" &amp; D13 &amp; "|" &amp; E13,#REF!,#REF!,
    "차열재 없음"
)</f>
        <v>#REF!</v>
      </c>
      <c r="Q13" s="45" t="e">
        <f>_xlfn.XLOOKUP(
    C13 &amp; "|" &amp; D13 &amp; "|" &amp; E13,#REF!,#REF!,
    "0"
)</f>
        <v>#REF!</v>
      </c>
      <c r="R13" s="45" t="e">
        <f>_xlfn.XLOOKUP(
    C13 &amp; "|" &amp; D13 &amp; "|" &amp; E13,#REF!,#REF!,
    "0"
)</f>
        <v>#REF!</v>
      </c>
      <c r="S13" s="45" t="e">
        <f>Q13*I13</f>
        <v>#REF!</v>
      </c>
      <c r="T13" s="79" t="e">
        <f>_xlfn.XLOOKUP(
    C13 &amp; "|" &amp; D13 &amp; "|" &amp; E13,#REF!,#REF!,
    0
)</f>
        <v>#REF!</v>
      </c>
      <c r="U13" s="78" t="e">
        <f>V13+R13+N13</f>
        <v>#REF!</v>
      </c>
      <c r="V13" s="67" t="e">
        <f>_xlfn.XLOOKUP(
    C13 &amp; "|" &amp; D13 &amp; "|" &amp; E13,#REF!,#REF!,
    0
)</f>
        <v>#REF!</v>
      </c>
      <c r="W13" s="67" t="e">
        <f>T13*I13</f>
        <v>#REF!</v>
      </c>
      <c r="X13" s="67" t="e">
        <f>(V13+N13+R13)*I13</f>
        <v>#REF!</v>
      </c>
      <c r="Y13" s="35" t="e">
        <f>V13*I13</f>
        <v>#REF!</v>
      </c>
    </row>
    <row r="14" spans="2:25" ht="26.5" customHeight="1">
      <c r="B14" s="34">
        <f>B13+1</f>
        <v>2</v>
      </c>
      <c r="C14" s="40"/>
      <c r="D14" s="40"/>
      <c r="E14" s="41"/>
      <c r="F14" s="152"/>
      <c r="G14" s="37"/>
      <c r="H14" s="37"/>
      <c r="I14" s="61"/>
      <c r="J14" s="37"/>
      <c r="K14" s="45" t="e">
        <f>IF(V14=0,
    "판매가 없음",
    _xlfn.XLOOKUP(
        C14 &amp; "|" &amp; D14 &amp; "|" &amp; E14,#REF!,#REF!,
        "0"
    )
)</f>
        <v>#REF!</v>
      </c>
      <c r="L14" s="56" t="e">
        <f>_xlfn.XLOOKUP(
    C14 &amp; "|" &amp; D14 &amp; "|" &amp; E14,#REF!,#REF!,
   0
)</f>
        <v>#REF!</v>
      </c>
      <c r="M14" s="136" t="e">
        <f>_xlfn.XLOOKUP(
    C14 &amp; "|" &amp; D14 &amp; "|" &amp; E14,#REF!,#REF!,
   0
)</f>
        <v>#REF!</v>
      </c>
      <c r="N14" s="56" t="e">
        <f>_xlfn.XLOOKUP(
    C14 &amp; "|" &amp; D14 &amp; "|" &amp; E14,#REF!,#REF!,
   0
)</f>
        <v>#REF!</v>
      </c>
      <c r="O14" s="45" t="e">
        <f t="shared" ref="O14:O17" si="0">L14*I14</f>
        <v>#REF!</v>
      </c>
      <c r="P14" s="45" t="e">
        <f>_xlfn.XLOOKUP(
    C14 &amp; "|" &amp; D14 &amp; "|" &amp; E14,#REF!,#REF!,
    "차열재 없음"
)</f>
        <v>#REF!</v>
      </c>
      <c r="Q14" s="45" t="e">
        <f>_xlfn.XLOOKUP(
    C14 &amp; "|" &amp; D14 &amp; "|" &amp; E14,#REF!,#REF!,
    "0"
)</f>
        <v>#REF!</v>
      </c>
      <c r="R14" s="45" t="e">
        <f>_xlfn.XLOOKUP(
    C14 &amp; "|" &amp; D14 &amp; "|" &amp; E14,#REF!,#REF!,
    "0"
)</f>
        <v>#REF!</v>
      </c>
      <c r="S14" s="45" t="e">
        <f t="shared" ref="S14:S17" si="1">Q14*I14</f>
        <v>#REF!</v>
      </c>
      <c r="T14" s="79" t="e">
        <f>_xlfn.XLOOKUP(
    C14 &amp; "|" &amp; D14 &amp; "|" &amp; E14,#REF!,#REF!,
    0
)</f>
        <v>#REF!</v>
      </c>
      <c r="U14" s="78" t="e">
        <f t="shared" ref="U14:U17" si="2">V14+R14+N14</f>
        <v>#REF!</v>
      </c>
      <c r="V14" s="67" t="e">
        <f>_xlfn.XLOOKUP(
    C14 &amp; "|" &amp; D14 &amp; "|" &amp; E14,#REF!,#REF!,
    0
)</f>
        <v>#REF!</v>
      </c>
      <c r="W14" s="67" t="e">
        <f t="shared" ref="W14:W17" si="3">T14*I14</f>
        <v>#REF!</v>
      </c>
      <c r="X14" s="67" t="e">
        <f t="shared" ref="X14:X17" si="4">(V14+N14+R14)*I14</f>
        <v>#REF!</v>
      </c>
      <c r="Y14" s="35" t="e">
        <f>V14*I14</f>
        <v>#REF!</v>
      </c>
    </row>
    <row r="15" spans="2:25" ht="26.5" customHeight="1">
      <c r="B15" s="34">
        <f t="shared" ref="B15:B107" si="5">B14+1</f>
        <v>3</v>
      </c>
      <c r="C15" s="40"/>
      <c r="D15" s="40"/>
      <c r="E15" s="41"/>
      <c r="F15" s="152"/>
      <c r="G15" s="37"/>
      <c r="H15" s="37"/>
      <c r="I15" s="61"/>
      <c r="J15" s="37"/>
      <c r="K15" s="45" t="e">
        <f>IF(V15=0,
    "판매가 없음",
    _xlfn.XLOOKUP(
        C15 &amp; "|" &amp; D15 &amp; "|" &amp; E15,#REF!,#REF!,
        "0"
    )
)</f>
        <v>#REF!</v>
      </c>
      <c r="L15" s="56" t="e">
        <f>_xlfn.XLOOKUP(
    C15 &amp; "|" &amp; D15 &amp; "|" &amp; E15,#REF!,#REF!,
   0
)</f>
        <v>#REF!</v>
      </c>
      <c r="M15" s="136" t="e">
        <f>_xlfn.XLOOKUP(
    C15 &amp; "|" &amp; D15 &amp; "|" &amp; E15,#REF!,#REF!,
   0
)</f>
        <v>#REF!</v>
      </c>
      <c r="N15" s="56" t="e">
        <f>_xlfn.XLOOKUP(
    C15 &amp; "|" &amp; D15 &amp; "|" &amp; E15,#REF!,#REF!,
   0
)</f>
        <v>#REF!</v>
      </c>
      <c r="O15" s="45" t="e">
        <f t="shared" si="0"/>
        <v>#REF!</v>
      </c>
      <c r="P15" s="45" t="e">
        <f>_xlfn.XLOOKUP(
    C15 &amp; "|" &amp; D15 &amp; "|" &amp; E15,#REF!,#REF!,
    "차열재 없음"
)</f>
        <v>#REF!</v>
      </c>
      <c r="Q15" s="45" t="e">
        <f>_xlfn.XLOOKUP(
    C15 &amp; "|" &amp; D15 &amp; "|" &amp; E15,#REF!,#REF!,
    "0"
)</f>
        <v>#REF!</v>
      </c>
      <c r="R15" s="45" t="e">
        <f>_xlfn.XLOOKUP(
    C15 &amp; "|" &amp; D15 &amp; "|" &amp; E15,#REF!,#REF!,
    "0"
)</f>
        <v>#REF!</v>
      </c>
      <c r="S15" s="45" t="e">
        <f t="shared" si="1"/>
        <v>#REF!</v>
      </c>
      <c r="T15" s="79" t="e">
        <f>_xlfn.XLOOKUP(
    C15 &amp; "|" &amp; D15 &amp; "|" &amp; E15,#REF!,#REF!,
    0
)</f>
        <v>#REF!</v>
      </c>
      <c r="U15" s="78" t="e">
        <f t="shared" si="2"/>
        <v>#REF!</v>
      </c>
      <c r="V15" s="67" t="e">
        <f>_xlfn.XLOOKUP(
    C15 &amp; "|" &amp; D15 &amp; "|" &amp; E15,#REF!,#REF!,
    0
)</f>
        <v>#REF!</v>
      </c>
      <c r="W15" s="67" t="e">
        <f t="shared" si="3"/>
        <v>#REF!</v>
      </c>
      <c r="X15" s="67" t="e">
        <f t="shared" si="4"/>
        <v>#REF!</v>
      </c>
      <c r="Y15" s="35" t="e">
        <f>V15*I15</f>
        <v>#REF!</v>
      </c>
    </row>
    <row r="16" spans="2:25" ht="26.5" customHeight="1">
      <c r="B16" s="34">
        <f t="shared" si="5"/>
        <v>4</v>
      </c>
      <c r="C16" s="40"/>
      <c r="D16" s="40"/>
      <c r="E16" s="41"/>
      <c r="F16" s="152"/>
      <c r="G16" s="37"/>
      <c r="H16" s="37"/>
      <c r="I16" s="61"/>
      <c r="J16" s="37"/>
      <c r="K16" s="45" t="e">
        <f>IF(V16=0,
    "판매가 없음",
    _xlfn.XLOOKUP(
        C16 &amp; "|" &amp; D16 &amp; "|" &amp; E16,#REF!,#REF!,
        "0"
    )
)</f>
        <v>#REF!</v>
      </c>
      <c r="L16" s="56" t="e">
        <f>_xlfn.XLOOKUP(
    C16 &amp; "|" &amp; D16 &amp; "|" &amp; E16,#REF!,#REF!,
   0
)</f>
        <v>#REF!</v>
      </c>
      <c r="M16" s="136" t="e">
        <f>_xlfn.XLOOKUP(
    C16 &amp; "|" &amp; D16 &amp; "|" &amp; E16,#REF!,#REF!,
   0
)</f>
        <v>#REF!</v>
      </c>
      <c r="N16" s="56" t="e">
        <f>_xlfn.XLOOKUP(
    C16 &amp; "|" &amp; D16 &amp; "|" &amp; E16,#REF!,#REF!,
   0
)</f>
        <v>#REF!</v>
      </c>
      <c r="O16" s="45" t="e">
        <f t="shared" si="0"/>
        <v>#REF!</v>
      </c>
      <c r="P16" s="45" t="e">
        <f>_xlfn.XLOOKUP(
    C16 &amp; "|" &amp; D16 &amp; "|" &amp; E16,#REF!,#REF!,
    "차열재 없음"
)</f>
        <v>#REF!</v>
      </c>
      <c r="Q16" s="45" t="e">
        <f>_xlfn.XLOOKUP(
    C16 &amp; "|" &amp; D16 &amp; "|" &amp; E16,#REF!,#REF!,
    "0"
)</f>
        <v>#REF!</v>
      </c>
      <c r="R16" s="45" t="e">
        <f>_xlfn.XLOOKUP(
    C16 &amp; "|" &amp; D16 &amp; "|" &amp; E16,#REF!,#REF!,
    "0"
)</f>
        <v>#REF!</v>
      </c>
      <c r="S16" s="45" t="e">
        <f t="shared" si="1"/>
        <v>#REF!</v>
      </c>
      <c r="T16" s="79" t="e">
        <f>_xlfn.XLOOKUP(
    C16 &amp; "|" &amp; D16 &amp; "|" &amp; E16,#REF!,#REF!,
    0
)</f>
        <v>#REF!</v>
      </c>
      <c r="U16" s="78" t="e">
        <f t="shared" si="2"/>
        <v>#REF!</v>
      </c>
      <c r="V16" s="67" t="e">
        <f>_xlfn.XLOOKUP(
    C16 &amp; "|" &amp; D16 &amp; "|" &amp; E16,#REF!,#REF!,
    0
)</f>
        <v>#REF!</v>
      </c>
      <c r="W16" s="67" t="e">
        <f t="shared" si="3"/>
        <v>#REF!</v>
      </c>
      <c r="X16" s="67" t="e">
        <f t="shared" si="4"/>
        <v>#REF!</v>
      </c>
      <c r="Y16" s="35" t="e">
        <f>V16*I16</f>
        <v>#REF!</v>
      </c>
    </row>
    <row r="17" spans="2:25" ht="26.5" customHeight="1">
      <c r="B17" s="34">
        <f t="shared" si="5"/>
        <v>5</v>
      </c>
      <c r="C17" s="40"/>
      <c r="D17" s="40"/>
      <c r="E17" s="41"/>
      <c r="F17" s="152"/>
      <c r="G17" s="37"/>
      <c r="H17" s="37"/>
      <c r="I17" s="61"/>
      <c r="J17" s="37"/>
      <c r="K17" s="45" t="e">
        <f>IF(V17=0,
    "판매가 없음",
    _xlfn.XLOOKUP(
        C17 &amp; "|" &amp; D17 &amp; "|" &amp; E17,#REF!,#REF!,
        "0"
    )
)</f>
        <v>#REF!</v>
      </c>
      <c r="L17" s="56" t="e">
        <f>_xlfn.XLOOKUP(
    C17 &amp; "|" &amp; D17 &amp; "|" &amp; E17,#REF!,#REF!,
   0
)</f>
        <v>#REF!</v>
      </c>
      <c r="M17" s="136" t="e">
        <f>_xlfn.XLOOKUP(
    C17 &amp; "|" &amp; D17 &amp; "|" &amp; E17,#REF!,#REF!,
   0
)</f>
        <v>#REF!</v>
      </c>
      <c r="N17" s="56" t="e">
        <f>_xlfn.XLOOKUP(
    C17 &amp; "|" &amp; D17 &amp; "|" &amp; E17,#REF!,#REF!,
   0
)</f>
        <v>#REF!</v>
      </c>
      <c r="O17" s="45" t="e">
        <f t="shared" si="0"/>
        <v>#REF!</v>
      </c>
      <c r="P17" s="45" t="e">
        <f>_xlfn.XLOOKUP(
    C17 &amp; "|" &amp; D17 &amp; "|" &amp; E17,#REF!,#REF!,
    "차열재 없음"
)</f>
        <v>#REF!</v>
      </c>
      <c r="Q17" s="45" t="e">
        <f>_xlfn.XLOOKUP(
    C17 &amp; "|" &amp; D17 &amp; "|" &amp; E17,#REF!,#REF!,
    "0"
)</f>
        <v>#REF!</v>
      </c>
      <c r="R17" s="45" t="e">
        <f>_xlfn.XLOOKUP(
    C17 &amp; "|" &amp; D17 &amp; "|" &amp; E17,#REF!,#REF!,
    "0"
)</f>
        <v>#REF!</v>
      </c>
      <c r="S17" s="45" t="e">
        <f t="shared" si="1"/>
        <v>#REF!</v>
      </c>
      <c r="T17" s="79" t="e">
        <f>_xlfn.XLOOKUP(
    C17 &amp; "|" &amp; D17 &amp; "|" &amp; E17,#REF!,#REF!,
    0
)</f>
        <v>#REF!</v>
      </c>
      <c r="U17" s="78" t="e">
        <f t="shared" si="2"/>
        <v>#REF!</v>
      </c>
      <c r="V17" s="67" t="e">
        <f>_xlfn.XLOOKUP(
    C17 &amp; "|" &amp; D17 &amp; "|" &amp; E17,#REF!,#REF!,
    0
)</f>
        <v>#REF!</v>
      </c>
      <c r="W17" s="67" t="e">
        <f t="shared" si="3"/>
        <v>#REF!</v>
      </c>
      <c r="X17" s="67" t="e">
        <f t="shared" si="4"/>
        <v>#REF!</v>
      </c>
      <c r="Y17" s="35" t="e">
        <f>V17*I17</f>
        <v>#REF!</v>
      </c>
    </row>
    <row r="18" spans="2:25" ht="26.5" customHeight="1">
      <c r="B18" s="34">
        <f t="shared" si="5"/>
        <v>6</v>
      </c>
      <c r="C18" s="40"/>
      <c r="D18" s="40"/>
      <c r="E18" s="41"/>
      <c r="F18" s="152"/>
      <c r="G18" s="37"/>
      <c r="H18" s="37"/>
      <c r="I18" s="61"/>
      <c r="J18" s="37"/>
      <c r="K18" s="45" t="e">
        <f>IF(V18=0,
    "판매가 없음",
    _xlfn.XLOOKUP(
        C18 &amp; "|" &amp; D18 &amp; "|" &amp; E18,#REF!,#REF!,
        "0"
    )
)</f>
        <v>#REF!</v>
      </c>
      <c r="L18" s="56" t="e">
        <f>_xlfn.XLOOKUP(
    C18 &amp; "|" &amp; D18 &amp; "|" &amp; E18,#REF!,#REF!,
   0
)</f>
        <v>#REF!</v>
      </c>
      <c r="M18" s="136" t="e">
        <f>_xlfn.XLOOKUP(
    C18 &amp; "|" &amp; D18 &amp; "|" &amp; E18,#REF!,#REF!,
   0
)</f>
        <v>#REF!</v>
      </c>
      <c r="N18" s="56" t="e">
        <f>_xlfn.XLOOKUP(
    C18 &amp; "|" &amp; D18 &amp; "|" &amp; E18,#REF!,#REF!,
   0
)</f>
        <v>#REF!</v>
      </c>
      <c r="O18" s="45" t="e">
        <f t="shared" ref="O18:O79" si="6">L18*I18</f>
        <v>#REF!</v>
      </c>
      <c r="P18" s="45" t="e">
        <f>_xlfn.XLOOKUP(
    C18 &amp; "|" &amp; D18 &amp; "|" &amp; E18,#REF!,#REF!,
    "차열재 없음"
)</f>
        <v>#REF!</v>
      </c>
      <c r="Q18" s="45" t="e">
        <f>_xlfn.XLOOKUP(
    C18 &amp; "|" &amp; D18 &amp; "|" &amp; E18,#REF!,#REF!,
    "0"
)</f>
        <v>#REF!</v>
      </c>
      <c r="R18" s="45" t="e">
        <f>_xlfn.XLOOKUP(
    C18 &amp; "|" &amp; D18 &amp; "|" &amp; E18,#REF!,#REF!,
    "0"
)</f>
        <v>#REF!</v>
      </c>
      <c r="S18" s="45" t="e">
        <f t="shared" ref="S18:S79" si="7">Q18*I18</f>
        <v>#REF!</v>
      </c>
      <c r="T18" s="79" t="e">
        <f>_xlfn.XLOOKUP(
    C18 &amp; "|" &amp; D18 &amp; "|" &amp; E18,#REF!,#REF!,
    0
)</f>
        <v>#REF!</v>
      </c>
      <c r="U18" s="78" t="e">
        <f t="shared" ref="U18:U79" si="8">V18+R18+N18</f>
        <v>#REF!</v>
      </c>
      <c r="V18" s="67" t="e">
        <f>_xlfn.XLOOKUP(
    C18 &amp; "|" &amp; D18 &amp; "|" &amp; E18,#REF!,#REF!,
    0
)</f>
        <v>#REF!</v>
      </c>
      <c r="W18" s="67" t="e">
        <f t="shared" ref="W18:W79" si="9">T18*I18</f>
        <v>#REF!</v>
      </c>
      <c r="X18" s="67" t="e">
        <f t="shared" ref="X18:X79" si="10">(V18+N18+R18)*I18</f>
        <v>#REF!</v>
      </c>
      <c r="Y18" s="35" t="e">
        <f t="shared" ref="Y18:Y79" si="11">V18*I18</f>
        <v>#REF!</v>
      </c>
    </row>
    <row r="19" spans="2:25" ht="26.5" customHeight="1">
      <c r="B19" s="34">
        <f t="shared" si="5"/>
        <v>7</v>
      </c>
      <c r="C19" s="40"/>
      <c r="D19" s="40"/>
      <c r="E19" s="41"/>
      <c r="F19" s="152"/>
      <c r="G19" s="37"/>
      <c r="H19" s="37"/>
      <c r="I19" s="61"/>
      <c r="J19" s="37"/>
      <c r="K19" s="45" t="e">
        <f>IF(V19=0,
    "판매가 없음",
    _xlfn.XLOOKUP(
        C19 &amp; "|" &amp; D19 &amp; "|" &amp; E19,#REF!,#REF!,
        "0"
    )
)</f>
        <v>#REF!</v>
      </c>
      <c r="L19" s="56" t="e">
        <f>_xlfn.XLOOKUP(
    C19 &amp; "|" &amp; D19 &amp; "|" &amp; E19,#REF!,#REF!,
   0
)</f>
        <v>#REF!</v>
      </c>
      <c r="M19" s="136" t="e">
        <f>_xlfn.XLOOKUP(
    C19 &amp; "|" &amp; D19 &amp; "|" &amp; E19,#REF!,#REF!,
   0
)</f>
        <v>#REF!</v>
      </c>
      <c r="N19" s="56" t="e">
        <f>_xlfn.XLOOKUP(
    C19 &amp; "|" &amp; D19 &amp; "|" &amp; E19,#REF!,#REF!,
   0
)</f>
        <v>#REF!</v>
      </c>
      <c r="O19" s="45" t="e">
        <f t="shared" si="6"/>
        <v>#REF!</v>
      </c>
      <c r="P19" s="45" t="e">
        <f>_xlfn.XLOOKUP(
    C19 &amp; "|" &amp; D19 &amp; "|" &amp; E19,#REF!,#REF!,
    "차열재 없음"
)</f>
        <v>#REF!</v>
      </c>
      <c r="Q19" s="45" t="e">
        <f>_xlfn.XLOOKUP(
    C19 &amp; "|" &amp; D19 &amp; "|" &amp; E19,#REF!,#REF!,
    "0"
)</f>
        <v>#REF!</v>
      </c>
      <c r="R19" s="45" t="e">
        <f>_xlfn.XLOOKUP(
    C19 &amp; "|" &amp; D19 &amp; "|" &amp; E19,#REF!,#REF!,
    "0"
)</f>
        <v>#REF!</v>
      </c>
      <c r="S19" s="45" t="e">
        <f t="shared" si="7"/>
        <v>#REF!</v>
      </c>
      <c r="T19" s="79" t="e">
        <f>_xlfn.XLOOKUP(
    C19 &amp; "|" &amp; D19 &amp; "|" &amp; E19,#REF!,#REF!,
    0
)</f>
        <v>#REF!</v>
      </c>
      <c r="U19" s="78" t="e">
        <f t="shared" si="8"/>
        <v>#REF!</v>
      </c>
      <c r="V19" s="67" t="e">
        <f>_xlfn.XLOOKUP(
    C19 &amp; "|" &amp; D19 &amp; "|" &amp; E19,#REF!,#REF!,
    0
)</f>
        <v>#REF!</v>
      </c>
      <c r="W19" s="67" t="e">
        <f t="shared" si="9"/>
        <v>#REF!</v>
      </c>
      <c r="X19" s="67" t="e">
        <f t="shared" si="10"/>
        <v>#REF!</v>
      </c>
      <c r="Y19" s="35" t="e">
        <f t="shared" si="11"/>
        <v>#REF!</v>
      </c>
    </row>
    <row r="20" spans="2:25" ht="26.5" customHeight="1">
      <c r="B20" s="34">
        <f t="shared" si="5"/>
        <v>8</v>
      </c>
      <c r="C20" s="40"/>
      <c r="D20" s="40"/>
      <c r="E20" s="41"/>
      <c r="F20" s="152"/>
      <c r="G20" s="37"/>
      <c r="H20" s="37"/>
      <c r="I20" s="61"/>
      <c r="J20" s="36"/>
      <c r="K20" s="45" t="e">
        <f>IF(V20=0,
    "판매가 없음",
    _xlfn.XLOOKUP(
        C20 &amp; "|" &amp; D20 &amp; "|" &amp; E20,#REF!,#REF!,
        "0"
    )
)</f>
        <v>#REF!</v>
      </c>
      <c r="L20" s="56" t="e">
        <f>_xlfn.XLOOKUP(
    C20 &amp; "|" &amp; D20 &amp; "|" &amp; E20,#REF!,#REF!,
   0
)</f>
        <v>#REF!</v>
      </c>
      <c r="M20" s="136" t="e">
        <f>_xlfn.XLOOKUP(
    C20 &amp; "|" &amp; D20 &amp; "|" &amp; E20,#REF!,#REF!,
   0
)</f>
        <v>#REF!</v>
      </c>
      <c r="N20" s="56" t="e">
        <f>_xlfn.XLOOKUP(
    C20 &amp; "|" &amp; D20 &amp; "|" &amp; E20,#REF!,#REF!,
   0
)</f>
        <v>#REF!</v>
      </c>
      <c r="O20" s="45" t="e">
        <f t="shared" si="6"/>
        <v>#REF!</v>
      </c>
      <c r="P20" s="45" t="e">
        <f>_xlfn.XLOOKUP(
    C20 &amp; "|" &amp; D20 &amp; "|" &amp; E20,#REF!,#REF!,
    "차열재 없음"
)</f>
        <v>#REF!</v>
      </c>
      <c r="Q20" s="45" t="e">
        <f>_xlfn.XLOOKUP(
    C20 &amp; "|" &amp; D20 &amp; "|" &amp; E20,#REF!,#REF!,
    "0"
)</f>
        <v>#REF!</v>
      </c>
      <c r="R20" s="45" t="e">
        <f>_xlfn.XLOOKUP(
    C20 &amp; "|" &amp; D20 &amp; "|" &amp; E20,#REF!,#REF!,
    "0"
)</f>
        <v>#REF!</v>
      </c>
      <c r="S20" s="45" t="e">
        <f t="shared" si="7"/>
        <v>#REF!</v>
      </c>
      <c r="T20" s="79" t="e">
        <f>_xlfn.XLOOKUP(
    C20 &amp; "|" &amp; D20 &amp; "|" &amp; E20,#REF!,#REF!,
    0
)</f>
        <v>#REF!</v>
      </c>
      <c r="U20" s="78" t="e">
        <f t="shared" si="8"/>
        <v>#REF!</v>
      </c>
      <c r="V20" s="67" t="e">
        <f>_xlfn.XLOOKUP(
    C20 &amp; "|" &amp; D20 &amp; "|" &amp; E20,#REF!,#REF!,
    0
)</f>
        <v>#REF!</v>
      </c>
      <c r="W20" s="67" t="e">
        <f t="shared" si="9"/>
        <v>#REF!</v>
      </c>
      <c r="X20" s="67" t="e">
        <f t="shared" si="10"/>
        <v>#REF!</v>
      </c>
      <c r="Y20" s="35" t="e">
        <f t="shared" si="11"/>
        <v>#REF!</v>
      </c>
    </row>
    <row r="21" spans="2:25" ht="26.5" customHeight="1">
      <c r="B21" s="34">
        <f t="shared" si="5"/>
        <v>9</v>
      </c>
      <c r="C21" s="40"/>
      <c r="D21" s="40"/>
      <c r="E21" s="41"/>
      <c r="F21" s="152"/>
      <c r="G21" s="37"/>
      <c r="H21" s="37"/>
      <c r="I21" s="132"/>
      <c r="J21" s="36"/>
      <c r="K21" s="45" t="e">
        <f>IF(V21=0,
    "판매가 없음",
    _xlfn.XLOOKUP(
        C21 &amp; "|" &amp; D21 &amp; "|" &amp; E21,#REF!,#REF!,
        "0"
    )
)</f>
        <v>#REF!</v>
      </c>
      <c r="L21" s="56" t="e">
        <f>_xlfn.XLOOKUP(
    C21 &amp; "|" &amp; D21 &amp; "|" &amp; E21,#REF!,#REF!,
   0
)</f>
        <v>#REF!</v>
      </c>
      <c r="M21" s="136" t="e">
        <f>_xlfn.XLOOKUP(
    C21 &amp; "|" &amp; D21 &amp; "|" &amp; E21,#REF!,#REF!,
   0
)</f>
        <v>#REF!</v>
      </c>
      <c r="N21" s="56" t="e">
        <f>_xlfn.XLOOKUP(
    C21 &amp; "|" &amp; D21 &amp; "|" &amp; E21,#REF!,#REF!,
   0
)</f>
        <v>#REF!</v>
      </c>
      <c r="O21" s="45" t="e">
        <f t="shared" si="6"/>
        <v>#REF!</v>
      </c>
      <c r="P21" s="45" t="e">
        <f>_xlfn.XLOOKUP(
    C21 &amp; "|" &amp; D21 &amp; "|" &amp; E21,#REF!,#REF!,
    "차열재 없음"
)</f>
        <v>#REF!</v>
      </c>
      <c r="Q21" s="45" t="e">
        <f>_xlfn.XLOOKUP(
    C21 &amp; "|" &amp; D21 &amp; "|" &amp; E21,#REF!,#REF!,
    "0"
)</f>
        <v>#REF!</v>
      </c>
      <c r="R21" s="45" t="e">
        <f>_xlfn.XLOOKUP(
    C21 &amp; "|" &amp; D21 &amp; "|" &amp; E21,#REF!,#REF!,
    "0"
)</f>
        <v>#REF!</v>
      </c>
      <c r="S21" s="45" t="e">
        <f t="shared" si="7"/>
        <v>#REF!</v>
      </c>
      <c r="T21" s="79" t="e">
        <f>_xlfn.XLOOKUP(
    C21 &amp; "|" &amp; D21 &amp; "|" &amp; E21,#REF!,#REF!,
    0
)</f>
        <v>#REF!</v>
      </c>
      <c r="U21" s="78" t="e">
        <f t="shared" si="8"/>
        <v>#REF!</v>
      </c>
      <c r="V21" s="67" t="e">
        <f>_xlfn.XLOOKUP(
    C21 &amp; "|" &amp; D21 &amp; "|" &amp; E21,#REF!,#REF!,
    0
)</f>
        <v>#REF!</v>
      </c>
      <c r="W21" s="67" t="e">
        <f t="shared" si="9"/>
        <v>#REF!</v>
      </c>
      <c r="X21" s="67" t="e">
        <f t="shared" si="10"/>
        <v>#REF!</v>
      </c>
      <c r="Y21" s="35" t="e">
        <f t="shared" si="11"/>
        <v>#REF!</v>
      </c>
    </row>
    <row r="22" spans="2:25" ht="26.5" customHeight="1">
      <c r="B22" s="34">
        <f t="shared" si="5"/>
        <v>10</v>
      </c>
      <c r="C22" s="40"/>
      <c r="D22" s="40"/>
      <c r="E22" s="41"/>
      <c r="F22" s="152"/>
      <c r="G22" s="37"/>
      <c r="H22" s="37"/>
      <c r="I22" s="132"/>
      <c r="J22" s="36"/>
      <c r="K22" s="45" t="e">
        <f>IF(V22=0,
    "판매가 없음",
    _xlfn.XLOOKUP(
        C22 &amp; "|" &amp; D22 &amp; "|" &amp; E22,#REF!,#REF!,
        "0"
    )
)</f>
        <v>#REF!</v>
      </c>
      <c r="L22" s="56" t="e">
        <f>_xlfn.XLOOKUP(
    C22 &amp; "|" &amp; D22 &amp; "|" &amp; E22,#REF!,#REF!,
   0
)</f>
        <v>#REF!</v>
      </c>
      <c r="M22" s="136" t="e">
        <f>_xlfn.XLOOKUP(
    C22 &amp; "|" &amp; D22 &amp; "|" &amp; E22,#REF!,#REF!,
   0
)</f>
        <v>#REF!</v>
      </c>
      <c r="N22" s="56" t="e">
        <f>_xlfn.XLOOKUP(
    C22 &amp; "|" &amp; D22 &amp; "|" &amp; E22,#REF!,#REF!,
   0
)</f>
        <v>#REF!</v>
      </c>
      <c r="O22" s="45" t="e">
        <f t="shared" si="6"/>
        <v>#REF!</v>
      </c>
      <c r="P22" s="45" t="e">
        <f>_xlfn.XLOOKUP(
    C22 &amp; "|" &amp; D22 &amp; "|" &amp; E22,#REF!,#REF!,
    "차열재 없음"
)</f>
        <v>#REF!</v>
      </c>
      <c r="Q22" s="45" t="e">
        <f>_xlfn.XLOOKUP(
    C22 &amp; "|" &amp; D22 &amp; "|" &amp; E22,#REF!,#REF!,
    "0"
)</f>
        <v>#REF!</v>
      </c>
      <c r="R22" s="45" t="e">
        <f>_xlfn.XLOOKUP(
    C22 &amp; "|" &amp; D22 &amp; "|" &amp; E22,#REF!,#REF!,
    "0"
)</f>
        <v>#REF!</v>
      </c>
      <c r="S22" s="45" t="e">
        <f t="shared" si="7"/>
        <v>#REF!</v>
      </c>
      <c r="T22" s="79" t="e">
        <f>_xlfn.XLOOKUP(
    C22 &amp; "|" &amp; D22 &amp; "|" &amp; E22,#REF!,#REF!,
    0
)</f>
        <v>#REF!</v>
      </c>
      <c r="U22" s="78" t="e">
        <f t="shared" si="8"/>
        <v>#REF!</v>
      </c>
      <c r="V22" s="67" t="e">
        <f>_xlfn.XLOOKUP(
    C22 &amp; "|" &amp; D22 &amp; "|" &amp; E22,#REF!,#REF!,
    0
)</f>
        <v>#REF!</v>
      </c>
      <c r="W22" s="67" t="e">
        <f t="shared" si="9"/>
        <v>#REF!</v>
      </c>
      <c r="X22" s="67" t="e">
        <f t="shared" si="10"/>
        <v>#REF!</v>
      </c>
      <c r="Y22" s="35" t="e">
        <f t="shared" si="11"/>
        <v>#REF!</v>
      </c>
    </row>
    <row r="23" spans="2:25" ht="26.5" customHeight="1">
      <c r="B23" s="34">
        <f t="shared" si="5"/>
        <v>11</v>
      </c>
      <c r="C23" s="40"/>
      <c r="D23" s="40"/>
      <c r="E23" s="41"/>
      <c r="F23" s="152"/>
      <c r="G23" s="37"/>
      <c r="H23" s="37"/>
      <c r="I23" s="132"/>
      <c r="J23" s="36"/>
      <c r="K23" s="45" t="e">
        <f>IF(V23=0,
    "판매가 없음",
    _xlfn.XLOOKUP(
        C23 &amp; "|" &amp; D23 &amp; "|" &amp; E23,#REF!,#REF!,
        "0"
    )
)</f>
        <v>#REF!</v>
      </c>
      <c r="L23" s="56" t="e">
        <f>_xlfn.XLOOKUP(
    C23 &amp; "|" &amp; D23 &amp; "|" &amp; E23,#REF!,#REF!,
   0
)</f>
        <v>#REF!</v>
      </c>
      <c r="M23" s="136" t="e">
        <f>_xlfn.XLOOKUP(
    C23 &amp; "|" &amp; D23 &amp; "|" &amp; E23,#REF!,#REF!,
   0
)</f>
        <v>#REF!</v>
      </c>
      <c r="N23" s="56" t="e">
        <f>_xlfn.XLOOKUP(
    C23 &amp; "|" &amp; D23 &amp; "|" &amp; E23,#REF!,#REF!,
   0
)</f>
        <v>#REF!</v>
      </c>
      <c r="O23" s="45" t="e">
        <f t="shared" si="6"/>
        <v>#REF!</v>
      </c>
      <c r="P23" s="45" t="e">
        <f>_xlfn.XLOOKUP(
    C23 &amp; "|" &amp; D23 &amp; "|" &amp; E23,#REF!,#REF!,
    "차열재 없음"
)</f>
        <v>#REF!</v>
      </c>
      <c r="Q23" s="45" t="e">
        <f>_xlfn.XLOOKUP(
    C23 &amp; "|" &amp; D23 &amp; "|" &amp; E23,#REF!,#REF!,
    "0"
)</f>
        <v>#REF!</v>
      </c>
      <c r="R23" s="45" t="e">
        <f>_xlfn.XLOOKUP(
    C23 &amp; "|" &amp; D23 &amp; "|" &amp; E23,#REF!,#REF!,
    "0"
)</f>
        <v>#REF!</v>
      </c>
      <c r="S23" s="45" t="e">
        <f t="shared" si="7"/>
        <v>#REF!</v>
      </c>
      <c r="T23" s="79" t="e">
        <f>_xlfn.XLOOKUP(
    C23 &amp; "|" &amp; D23 &amp; "|" &amp; E23,#REF!,#REF!,
    0
)</f>
        <v>#REF!</v>
      </c>
      <c r="U23" s="78" t="e">
        <f t="shared" si="8"/>
        <v>#REF!</v>
      </c>
      <c r="V23" s="67" t="e">
        <f>_xlfn.XLOOKUP(
    C23 &amp; "|" &amp; D23 &amp; "|" &amp; E23,#REF!,#REF!,
    0
)</f>
        <v>#REF!</v>
      </c>
      <c r="W23" s="67" t="e">
        <f t="shared" si="9"/>
        <v>#REF!</v>
      </c>
      <c r="X23" s="67" t="e">
        <f t="shared" si="10"/>
        <v>#REF!</v>
      </c>
      <c r="Y23" s="35" t="e">
        <f t="shared" si="11"/>
        <v>#REF!</v>
      </c>
    </row>
    <row r="24" spans="2:25" ht="26.5" customHeight="1">
      <c r="B24" s="34">
        <f t="shared" si="5"/>
        <v>12</v>
      </c>
      <c r="C24" s="40"/>
      <c r="D24" s="40"/>
      <c r="E24" s="41"/>
      <c r="F24" s="152"/>
      <c r="G24" s="37"/>
      <c r="H24" s="37"/>
      <c r="I24" s="132"/>
      <c r="J24" s="36"/>
      <c r="K24" s="45" t="e">
        <f>IF(V24=0,
    "판매가 없음",
    _xlfn.XLOOKUP(
        C24 &amp; "|" &amp; D24 &amp; "|" &amp; E24,#REF!,#REF!,
        "0"
    )
)</f>
        <v>#REF!</v>
      </c>
      <c r="L24" s="56" t="e">
        <f>_xlfn.XLOOKUP(
    C24 &amp; "|" &amp; D24 &amp; "|" &amp; E24,#REF!,#REF!,
   0
)</f>
        <v>#REF!</v>
      </c>
      <c r="M24" s="136" t="e">
        <f>_xlfn.XLOOKUP(
    C24 &amp; "|" &amp; D24 &amp; "|" &amp; E24,#REF!,#REF!,
   0
)</f>
        <v>#REF!</v>
      </c>
      <c r="N24" s="56" t="e">
        <f>_xlfn.XLOOKUP(
    C24 &amp; "|" &amp; D24 &amp; "|" &amp; E24,#REF!,#REF!,
   0
)</f>
        <v>#REF!</v>
      </c>
      <c r="O24" s="45" t="e">
        <f t="shared" si="6"/>
        <v>#REF!</v>
      </c>
      <c r="P24" s="45" t="e">
        <f>_xlfn.XLOOKUP(
    C24 &amp; "|" &amp; D24 &amp; "|" &amp; E24,#REF!,#REF!,
    "차열재 없음"
)</f>
        <v>#REF!</v>
      </c>
      <c r="Q24" s="45" t="e">
        <f>_xlfn.XLOOKUP(
    C24 &amp; "|" &amp; D24 &amp; "|" &amp; E24,#REF!,#REF!,
    "0"
)</f>
        <v>#REF!</v>
      </c>
      <c r="R24" s="45" t="e">
        <f>_xlfn.XLOOKUP(
    C24 &amp; "|" &amp; D24 &amp; "|" &amp; E24,#REF!,#REF!,
    "0"
)</f>
        <v>#REF!</v>
      </c>
      <c r="S24" s="45" t="e">
        <f t="shared" si="7"/>
        <v>#REF!</v>
      </c>
      <c r="T24" s="79" t="e">
        <f>_xlfn.XLOOKUP(
    C24 &amp; "|" &amp; D24 &amp; "|" &amp; E24,#REF!,#REF!,
    0
)</f>
        <v>#REF!</v>
      </c>
      <c r="U24" s="78" t="e">
        <f t="shared" si="8"/>
        <v>#REF!</v>
      </c>
      <c r="V24" s="67" t="e">
        <f>_xlfn.XLOOKUP(
    C24 &amp; "|" &amp; D24 &amp; "|" &amp; E24,#REF!,#REF!,
    0
)</f>
        <v>#REF!</v>
      </c>
      <c r="W24" s="67" t="e">
        <f t="shared" si="9"/>
        <v>#REF!</v>
      </c>
      <c r="X24" s="67" t="e">
        <f t="shared" si="10"/>
        <v>#REF!</v>
      </c>
      <c r="Y24" s="35" t="e">
        <f t="shared" si="11"/>
        <v>#REF!</v>
      </c>
    </row>
    <row r="25" spans="2:25" ht="26.5" customHeight="1">
      <c r="B25" s="34">
        <f t="shared" si="5"/>
        <v>13</v>
      </c>
      <c r="C25" s="40"/>
      <c r="D25" s="40"/>
      <c r="E25" s="41"/>
      <c r="F25" s="152"/>
      <c r="G25" s="37"/>
      <c r="H25" s="37"/>
      <c r="I25" s="132"/>
      <c r="J25" s="36"/>
      <c r="K25" s="45" t="e">
        <f>IF(V25=0,
    "판매가 없음",
    _xlfn.XLOOKUP(
        C25 &amp; "|" &amp; D25 &amp; "|" &amp; E25,#REF!,#REF!,
        "0"
    )
)</f>
        <v>#REF!</v>
      </c>
      <c r="L25" s="56" t="e">
        <f>_xlfn.XLOOKUP(
    C25 &amp; "|" &amp; D25 &amp; "|" &amp; E25,#REF!,#REF!,
   0
)</f>
        <v>#REF!</v>
      </c>
      <c r="M25" s="136" t="e">
        <f>_xlfn.XLOOKUP(
    C25 &amp; "|" &amp; D25 &amp; "|" &amp; E25,#REF!,#REF!,
   0
)</f>
        <v>#REF!</v>
      </c>
      <c r="N25" s="56" t="e">
        <f>_xlfn.XLOOKUP(
    C25 &amp; "|" &amp; D25 &amp; "|" &amp; E25,#REF!,#REF!,
   0
)</f>
        <v>#REF!</v>
      </c>
      <c r="O25" s="45" t="e">
        <f t="shared" si="6"/>
        <v>#REF!</v>
      </c>
      <c r="P25" s="45" t="e">
        <f>_xlfn.XLOOKUP(
    C25 &amp; "|" &amp; D25 &amp; "|" &amp; E25,#REF!,#REF!,
    "차열재 없음"
)</f>
        <v>#REF!</v>
      </c>
      <c r="Q25" s="45" t="e">
        <f>_xlfn.XLOOKUP(
    C25 &amp; "|" &amp; D25 &amp; "|" &amp; E25,#REF!,#REF!,
    "0"
)</f>
        <v>#REF!</v>
      </c>
      <c r="R25" s="45" t="e">
        <f>_xlfn.XLOOKUP(
    C25 &amp; "|" &amp; D25 &amp; "|" &amp; E25,#REF!,#REF!,
    "0"
)</f>
        <v>#REF!</v>
      </c>
      <c r="S25" s="45" t="e">
        <f t="shared" si="7"/>
        <v>#REF!</v>
      </c>
      <c r="T25" s="79" t="e">
        <f>_xlfn.XLOOKUP(
    C25 &amp; "|" &amp; D25 &amp; "|" &amp; E25,#REF!,#REF!,
    0
)</f>
        <v>#REF!</v>
      </c>
      <c r="U25" s="78" t="e">
        <f t="shared" si="8"/>
        <v>#REF!</v>
      </c>
      <c r="V25" s="67" t="e">
        <f>_xlfn.XLOOKUP(
    C25 &amp; "|" &amp; D25 &amp; "|" &amp; E25,#REF!,#REF!,
    0
)</f>
        <v>#REF!</v>
      </c>
      <c r="W25" s="67" t="e">
        <f t="shared" si="9"/>
        <v>#REF!</v>
      </c>
      <c r="X25" s="67" t="e">
        <f t="shared" si="10"/>
        <v>#REF!</v>
      </c>
      <c r="Y25" s="35" t="e">
        <f t="shared" si="11"/>
        <v>#REF!</v>
      </c>
    </row>
    <row r="26" spans="2:25" ht="26.5" customHeight="1">
      <c r="B26" s="34">
        <f t="shared" si="5"/>
        <v>14</v>
      </c>
      <c r="C26" s="40"/>
      <c r="D26" s="40"/>
      <c r="E26" s="41"/>
      <c r="F26" s="152"/>
      <c r="G26" s="37"/>
      <c r="H26" s="37"/>
      <c r="I26" s="132"/>
      <c r="J26" s="36"/>
      <c r="K26" s="45" t="e">
        <f>IF(V26=0,
    "판매가 없음",
    _xlfn.XLOOKUP(
        C26 &amp; "|" &amp; D26 &amp; "|" &amp; E26,#REF!,#REF!,
        "0"
    )
)</f>
        <v>#REF!</v>
      </c>
      <c r="L26" s="56" t="e">
        <f>_xlfn.XLOOKUP(
    C26 &amp; "|" &amp; D26 &amp; "|" &amp; E26,#REF!,#REF!,
   0
)</f>
        <v>#REF!</v>
      </c>
      <c r="M26" s="136" t="e">
        <f>_xlfn.XLOOKUP(
    C26 &amp; "|" &amp; D26 &amp; "|" &amp; E26,#REF!,#REF!,
   0
)</f>
        <v>#REF!</v>
      </c>
      <c r="N26" s="56" t="e">
        <f>_xlfn.XLOOKUP(
    C26 &amp; "|" &amp; D26 &amp; "|" &amp; E26,#REF!,#REF!,
   0
)</f>
        <v>#REF!</v>
      </c>
      <c r="O26" s="45" t="e">
        <f t="shared" si="6"/>
        <v>#REF!</v>
      </c>
      <c r="P26" s="45" t="e">
        <f>_xlfn.XLOOKUP(
    C26 &amp; "|" &amp; D26 &amp; "|" &amp; E26,#REF!,#REF!,
    "차열재 없음"
)</f>
        <v>#REF!</v>
      </c>
      <c r="Q26" s="45" t="e">
        <f>_xlfn.XLOOKUP(
    C26 &amp; "|" &amp; D26 &amp; "|" &amp; E26,#REF!,#REF!,
    "0"
)</f>
        <v>#REF!</v>
      </c>
      <c r="R26" s="45" t="e">
        <f>_xlfn.XLOOKUP(
    C26 &amp; "|" &amp; D26 &amp; "|" &amp; E26,#REF!,#REF!,
    "0"
)</f>
        <v>#REF!</v>
      </c>
      <c r="S26" s="45" t="e">
        <f t="shared" si="7"/>
        <v>#REF!</v>
      </c>
      <c r="T26" s="79" t="e">
        <f>_xlfn.XLOOKUP(
    C26 &amp; "|" &amp; D26 &amp; "|" &amp; E26,#REF!,#REF!,
    0
)</f>
        <v>#REF!</v>
      </c>
      <c r="U26" s="78" t="e">
        <f t="shared" si="8"/>
        <v>#REF!</v>
      </c>
      <c r="V26" s="67" t="e">
        <f>_xlfn.XLOOKUP(
    C26 &amp; "|" &amp; D26 &amp; "|" &amp; E26,#REF!,#REF!,
    0
)</f>
        <v>#REF!</v>
      </c>
      <c r="W26" s="67" t="e">
        <f t="shared" si="9"/>
        <v>#REF!</v>
      </c>
      <c r="X26" s="67" t="e">
        <f t="shared" si="10"/>
        <v>#REF!</v>
      </c>
      <c r="Y26" s="35" t="e">
        <f t="shared" si="11"/>
        <v>#REF!</v>
      </c>
    </row>
    <row r="27" spans="2:25" ht="26.5" customHeight="1">
      <c r="B27" s="34">
        <f t="shared" si="5"/>
        <v>15</v>
      </c>
      <c r="C27" s="40"/>
      <c r="D27" s="40"/>
      <c r="E27" s="41"/>
      <c r="F27" s="152"/>
      <c r="G27" s="37"/>
      <c r="H27" s="37"/>
      <c r="I27" s="132"/>
      <c r="J27" s="36"/>
      <c r="K27" s="45" t="e">
        <f>IF(V27=0,
    "판매가 없음",
    _xlfn.XLOOKUP(
        C27 &amp; "|" &amp; D27 &amp; "|" &amp; E27,#REF!,#REF!,
        "0"
    )
)</f>
        <v>#REF!</v>
      </c>
      <c r="L27" s="56" t="e">
        <f>_xlfn.XLOOKUP(
    C27 &amp; "|" &amp; D27 &amp; "|" &amp; E27,#REF!,#REF!,
   0
)</f>
        <v>#REF!</v>
      </c>
      <c r="M27" s="136" t="e">
        <f>_xlfn.XLOOKUP(
    C27 &amp; "|" &amp; D27 &amp; "|" &amp; E27,#REF!,#REF!,
   0
)</f>
        <v>#REF!</v>
      </c>
      <c r="N27" s="56" t="e">
        <f>_xlfn.XLOOKUP(
    C27 &amp; "|" &amp; D27 &amp; "|" &amp; E27,#REF!,#REF!,
   0
)</f>
        <v>#REF!</v>
      </c>
      <c r="O27" s="45" t="e">
        <f t="shared" si="6"/>
        <v>#REF!</v>
      </c>
      <c r="P27" s="45" t="e">
        <f>_xlfn.XLOOKUP(
    C27 &amp; "|" &amp; D27 &amp; "|" &amp; E27,#REF!,#REF!,
    "차열재 없음"
)</f>
        <v>#REF!</v>
      </c>
      <c r="Q27" s="45" t="e">
        <f>_xlfn.XLOOKUP(
    C27 &amp; "|" &amp; D27 &amp; "|" &amp; E27,#REF!,#REF!,
    "0"
)</f>
        <v>#REF!</v>
      </c>
      <c r="R27" s="45" t="e">
        <f>_xlfn.XLOOKUP(
    C27 &amp; "|" &amp; D27 &amp; "|" &amp; E27,#REF!,#REF!,
    "0"
)</f>
        <v>#REF!</v>
      </c>
      <c r="S27" s="45" t="e">
        <f t="shared" si="7"/>
        <v>#REF!</v>
      </c>
      <c r="T27" s="79" t="e">
        <f>_xlfn.XLOOKUP(
    C27 &amp; "|" &amp; D27 &amp; "|" &amp; E27,#REF!,#REF!,
    0
)</f>
        <v>#REF!</v>
      </c>
      <c r="U27" s="78" t="e">
        <f t="shared" si="8"/>
        <v>#REF!</v>
      </c>
      <c r="V27" s="67" t="e">
        <f>_xlfn.XLOOKUP(
    C27 &amp; "|" &amp; D27 &amp; "|" &amp; E27,#REF!,#REF!,
    0
)</f>
        <v>#REF!</v>
      </c>
      <c r="W27" s="67" t="e">
        <f t="shared" si="9"/>
        <v>#REF!</v>
      </c>
      <c r="X27" s="67" t="e">
        <f t="shared" si="10"/>
        <v>#REF!</v>
      </c>
      <c r="Y27" s="35" t="e">
        <f t="shared" si="11"/>
        <v>#REF!</v>
      </c>
    </row>
    <row r="28" spans="2:25" ht="26.5" customHeight="1">
      <c r="B28" s="34">
        <f t="shared" si="5"/>
        <v>16</v>
      </c>
      <c r="C28" s="40"/>
      <c r="D28" s="40"/>
      <c r="E28" s="41"/>
      <c r="F28" s="152"/>
      <c r="G28" s="37"/>
      <c r="H28" s="37"/>
      <c r="I28" s="132"/>
      <c r="J28" s="36"/>
      <c r="K28" s="45" t="e">
        <f>IF(V28=0,
    "판매가 없음",
    _xlfn.XLOOKUP(
        C28 &amp; "|" &amp; D28 &amp; "|" &amp; E28,#REF!,#REF!,
        "0"
    )
)</f>
        <v>#REF!</v>
      </c>
      <c r="L28" s="56" t="e">
        <f>_xlfn.XLOOKUP(
    C28 &amp; "|" &amp; D28 &amp; "|" &amp; E28,#REF!,#REF!,
   0
)</f>
        <v>#REF!</v>
      </c>
      <c r="M28" s="136" t="e">
        <f>_xlfn.XLOOKUP(
    C28 &amp; "|" &amp; D28 &amp; "|" &amp; E28,#REF!,#REF!,
   0
)</f>
        <v>#REF!</v>
      </c>
      <c r="N28" s="56" t="e">
        <f>_xlfn.XLOOKUP(
    C28 &amp; "|" &amp; D28 &amp; "|" &amp; E28,#REF!,#REF!,
   0
)</f>
        <v>#REF!</v>
      </c>
      <c r="O28" s="45" t="e">
        <f t="shared" si="6"/>
        <v>#REF!</v>
      </c>
      <c r="P28" s="45" t="e">
        <f>_xlfn.XLOOKUP(
    C28 &amp; "|" &amp; D28 &amp; "|" &amp; E28,#REF!,#REF!,
    "차열재 없음"
)</f>
        <v>#REF!</v>
      </c>
      <c r="Q28" s="45" t="e">
        <f>_xlfn.XLOOKUP(
    C28 &amp; "|" &amp; D28 &amp; "|" &amp; E28,#REF!,#REF!,
    "0"
)</f>
        <v>#REF!</v>
      </c>
      <c r="R28" s="45" t="e">
        <f>_xlfn.XLOOKUP(
    C28 &amp; "|" &amp; D28 &amp; "|" &amp; E28,#REF!,#REF!,
    "0"
)</f>
        <v>#REF!</v>
      </c>
      <c r="S28" s="45" t="e">
        <f t="shared" si="7"/>
        <v>#REF!</v>
      </c>
      <c r="T28" s="79" t="e">
        <f>_xlfn.XLOOKUP(
    C28 &amp; "|" &amp; D28 &amp; "|" &amp; E28,#REF!,#REF!,
    0
)</f>
        <v>#REF!</v>
      </c>
      <c r="U28" s="78" t="e">
        <f t="shared" si="8"/>
        <v>#REF!</v>
      </c>
      <c r="V28" s="67" t="e">
        <f>_xlfn.XLOOKUP(
    C28 &amp; "|" &amp; D28 &amp; "|" &amp; E28,#REF!,#REF!,
    0
)</f>
        <v>#REF!</v>
      </c>
      <c r="W28" s="67" t="e">
        <f t="shared" si="9"/>
        <v>#REF!</v>
      </c>
      <c r="X28" s="67" t="e">
        <f t="shared" si="10"/>
        <v>#REF!</v>
      </c>
      <c r="Y28" s="35" t="e">
        <f t="shared" si="11"/>
        <v>#REF!</v>
      </c>
    </row>
    <row r="29" spans="2:25" ht="26.5" customHeight="1">
      <c r="B29" s="34">
        <f t="shared" si="5"/>
        <v>17</v>
      </c>
      <c r="C29" s="40"/>
      <c r="D29" s="40"/>
      <c r="E29" s="41"/>
      <c r="F29" s="152"/>
      <c r="G29" s="37"/>
      <c r="H29" s="37"/>
      <c r="I29" s="132"/>
      <c r="J29" s="36"/>
      <c r="K29" s="45" t="e">
        <f>IF(V29=0,
    "판매가 없음",
    _xlfn.XLOOKUP(
        C29 &amp; "|" &amp; D29 &amp; "|" &amp; E29,#REF!,#REF!,
        "0"
    )
)</f>
        <v>#REF!</v>
      </c>
      <c r="L29" s="56" t="e">
        <f>_xlfn.XLOOKUP(
    C29 &amp; "|" &amp; D29 &amp; "|" &amp; E29,#REF!,#REF!,
   0
)</f>
        <v>#REF!</v>
      </c>
      <c r="M29" s="136" t="e">
        <f>_xlfn.XLOOKUP(
    C29 &amp; "|" &amp; D29 &amp; "|" &amp; E29,#REF!,#REF!,
   0
)</f>
        <v>#REF!</v>
      </c>
      <c r="N29" s="56" t="e">
        <f>_xlfn.XLOOKUP(
    C29 &amp; "|" &amp; D29 &amp; "|" &amp; E29,#REF!,#REF!,
   0
)</f>
        <v>#REF!</v>
      </c>
      <c r="O29" s="45" t="e">
        <f t="shared" si="6"/>
        <v>#REF!</v>
      </c>
      <c r="P29" s="45" t="e">
        <f>_xlfn.XLOOKUP(
    C29 &amp; "|" &amp; D29 &amp; "|" &amp; E29,#REF!,#REF!,
    "차열재 없음"
)</f>
        <v>#REF!</v>
      </c>
      <c r="Q29" s="45" t="e">
        <f>_xlfn.XLOOKUP(
    C29 &amp; "|" &amp; D29 &amp; "|" &amp; E29,#REF!,#REF!,
    "0"
)</f>
        <v>#REF!</v>
      </c>
      <c r="R29" s="45" t="e">
        <f>_xlfn.XLOOKUP(
    C29 &amp; "|" &amp; D29 &amp; "|" &amp; E29,#REF!,#REF!,
    "0"
)</f>
        <v>#REF!</v>
      </c>
      <c r="S29" s="45" t="e">
        <f t="shared" si="7"/>
        <v>#REF!</v>
      </c>
      <c r="T29" s="79" t="e">
        <f>_xlfn.XLOOKUP(
    C29 &amp; "|" &amp; D29 &amp; "|" &amp; E29,#REF!,#REF!,
    0
)</f>
        <v>#REF!</v>
      </c>
      <c r="U29" s="78" t="e">
        <f t="shared" si="8"/>
        <v>#REF!</v>
      </c>
      <c r="V29" s="67" t="e">
        <f>_xlfn.XLOOKUP(
    C29 &amp; "|" &amp; D29 &amp; "|" &amp; E29,#REF!,#REF!,
    0
)</f>
        <v>#REF!</v>
      </c>
      <c r="W29" s="67" t="e">
        <f t="shared" si="9"/>
        <v>#REF!</v>
      </c>
      <c r="X29" s="67" t="e">
        <f t="shared" si="10"/>
        <v>#REF!</v>
      </c>
      <c r="Y29" s="35" t="e">
        <f t="shared" si="11"/>
        <v>#REF!</v>
      </c>
    </row>
    <row r="30" spans="2:25" ht="26.5" customHeight="1">
      <c r="B30" s="34">
        <f t="shared" si="5"/>
        <v>18</v>
      </c>
      <c r="C30" s="40"/>
      <c r="D30" s="40"/>
      <c r="E30" s="41"/>
      <c r="F30" s="152"/>
      <c r="G30" s="37"/>
      <c r="H30" s="37"/>
      <c r="I30" s="132"/>
      <c r="J30" s="36"/>
      <c r="K30" s="45" t="e">
        <f>IF(V30=0,
    "판매가 없음",
    _xlfn.XLOOKUP(
        C30 &amp; "|" &amp; D30 &amp; "|" &amp; E30,#REF!,#REF!,
        "0"
    )
)</f>
        <v>#REF!</v>
      </c>
      <c r="L30" s="56" t="e">
        <f>_xlfn.XLOOKUP(
    C30 &amp; "|" &amp; D30 &amp; "|" &amp; E30,#REF!,#REF!,
   0
)</f>
        <v>#REF!</v>
      </c>
      <c r="M30" s="136" t="e">
        <f>_xlfn.XLOOKUP(
    C30 &amp; "|" &amp; D30 &amp; "|" &amp; E30,#REF!,#REF!,
   0
)</f>
        <v>#REF!</v>
      </c>
      <c r="N30" s="56" t="e">
        <f>_xlfn.XLOOKUP(
    C30 &amp; "|" &amp; D30 &amp; "|" &amp; E30,#REF!,#REF!,
   0
)</f>
        <v>#REF!</v>
      </c>
      <c r="O30" s="45" t="e">
        <f t="shared" si="6"/>
        <v>#REF!</v>
      </c>
      <c r="P30" s="45" t="e">
        <f>_xlfn.XLOOKUP(
    C30 &amp; "|" &amp; D30 &amp; "|" &amp; E30,#REF!,#REF!,
    "차열재 없음"
)</f>
        <v>#REF!</v>
      </c>
      <c r="Q30" s="45" t="e">
        <f>_xlfn.XLOOKUP(
    C30 &amp; "|" &amp; D30 &amp; "|" &amp; E30,#REF!,#REF!,
    "0"
)</f>
        <v>#REF!</v>
      </c>
      <c r="R30" s="45" t="e">
        <f>_xlfn.XLOOKUP(
    C30 &amp; "|" &amp; D30 &amp; "|" &amp; E30,#REF!,#REF!,
    "0"
)</f>
        <v>#REF!</v>
      </c>
      <c r="S30" s="45" t="e">
        <f t="shared" si="7"/>
        <v>#REF!</v>
      </c>
      <c r="T30" s="79" t="e">
        <f>_xlfn.XLOOKUP(
    C30 &amp; "|" &amp; D30 &amp; "|" &amp; E30,#REF!,#REF!,
    0
)</f>
        <v>#REF!</v>
      </c>
      <c r="U30" s="78" t="e">
        <f t="shared" si="8"/>
        <v>#REF!</v>
      </c>
      <c r="V30" s="67" t="e">
        <f>_xlfn.XLOOKUP(
    C30 &amp; "|" &amp; D30 &amp; "|" &amp; E30,#REF!,#REF!,
    0
)</f>
        <v>#REF!</v>
      </c>
      <c r="W30" s="67" t="e">
        <f t="shared" si="9"/>
        <v>#REF!</v>
      </c>
      <c r="X30" s="67" t="e">
        <f t="shared" si="10"/>
        <v>#REF!</v>
      </c>
      <c r="Y30" s="35" t="e">
        <f t="shared" si="11"/>
        <v>#REF!</v>
      </c>
    </row>
    <row r="31" spans="2:25" ht="26.5" customHeight="1">
      <c r="B31" s="34">
        <f t="shared" si="5"/>
        <v>19</v>
      </c>
      <c r="C31" s="40"/>
      <c r="D31" s="40"/>
      <c r="E31" s="41"/>
      <c r="F31" s="152"/>
      <c r="G31" s="37"/>
      <c r="H31" s="37"/>
      <c r="I31" s="132"/>
      <c r="J31" s="36"/>
      <c r="K31" s="45" t="e">
        <f>IF(V31=0,
    "판매가 없음",
    _xlfn.XLOOKUP(
        C31 &amp; "|" &amp; D31 &amp; "|" &amp; E31,#REF!,#REF!,
        "0"
    )
)</f>
        <v>#REF!</v>
      </c>
      <c r="L31" s="56" t="e">
        <f>_xlfn.XLOOKUP(
    C31 &amp; "|" &amp; D31 &amp; "|" &amp; E31,#REF!,#REF!,
   0
)</f>
        <v>#REF!</v>
      </c>
      <c r="M31" s="136" t="e">
        <f>_xlfn.XLOOKUP(
    C31 &amp; "|" &amp; D31 &amp; "|" &amp; E31,#REF!,#REF!,
   0
)</f>
        <v>#REF!</v>
      </c>
      <c r="N31" s="56" t="e">
        <f>_xlfn.XLOOKUP(
    C31 &amp; "|" &amp; D31 &amp; "|" &amp; E31,#REF!,#REF!,
   0
)</f>
        <v>#REF!</v>
      </c>
      <c r="O31" s="45" t="e">
        <f t="shared" si="6"/>
        <v>#REF!</v>
      </c>
      <c r="P31" s="45" t="e">
        <f>_xlfn.XLOOKUP(
    C31 &amp; "|" &amp; D31 &amp; "|" &amp; E31,#REF!,#REF!,
    "차열재 없음"
)</f>
        <v>#REF!</v>
      </c>
      <c r="Q31" s="45" t="e">
        <f>_xlfn.XLOOKUP(
    C31 &amp; "|" &amp; D31 &amp; "|" &amp; E31,#REF!,#REF!,
    "0"
)</f>
        <v>#REF!</v>
      </c>
      <c r="R31" s="45" t="e">
        <f>_xlfn.XLOOKUP(
    C31 &amp; "|" &amp; D31 &amp; "|" &amp; E31,#REF!,#REF!,
    "0"
)</f>
        <v>#REF!</v>
      </c>
      <c r="S31" s="45" t="e">
        <f t="shared" si="7"/>
        <v>#REF!</v>
      </c>
      <c r="T31" s="79" t="e">
        <f>_xlfn.XLOOKUP(
    C31 &amp; "|" &amp; D31 &amp; "|" &amp; E31,#REF!,#REF!,
    0
)</f>
        <v>#REF!</v>
      </c>
      <c r="U31" s="78" t="e">
        <f t="shared" si="8"/>
        <v>#REF!</v>
      </c>
      <c r="V31" s="67" t="e">
        <f>_xlfn.XLOOKUP(
    C31 &amp; "|" &amp; D31 &amp; "|" &amp; E31,#REF!,#REF!,
    0
)</f>
        <v>#REF!</v>
      </c>
      <c r="W31" s="67" t="e">
        <f t="shared" si="9"/>
        <v>#REF!</v>
      </c>
      <c r="X31" s="67" t="e">
        <f t="shared" si="10"/>
        <v>#REF!</v>
      </c>
      <c r="Y31" s="35" t="e">
        <f t="shared" si="11"/>
        <v>#REF!</v>
      </c>
    </row>
    <row r="32" spans="2:25" ht="26.5" customHeight="1">
      <c r="B32" s="34">
        <f t="shared" si="5"/>
        <v>20</v>
      </c>
      <c r="C32" s="40"/>
      <c r="D32" s="40"/>
      <c r="E32" s="41"/>
      <c r="F32" s="152"/>
      <c r="G32" s="37"/>
      <c r="H32" s="37"/>
      <c r="I32" s="132"/>
      <c r="J32" s="36"/>
      <c r="K32" s="45" t="e">
        <f>IF(V32=0,
    "판매가 없음",
    _xlfn.XLOOKUP(
        C32 &amp; "|" &amp; D32 &amp; "|" &amp; E32,#REF!,#REF!,
        "0"
    )
)</f>
        <v>#REF!</v>
      </c>
      <c r="L32" s="56" t="e">
        <f>_xlfn.XLOOKUP(
    C32 &amp; "|" &amp; D32 &amp; "|" &amp; E32,#REF!,#REF!,
   0
)</f>
        <v>#REF!</v>
      </c>
      <c r="M32" s="136" t="e">
        <f>_xlfn.XLOOKUP(
    C32 &amp; "|" &amp; D32 &amp; "|" &amp; E32,#REF!,#REF!,
   0
)</f>
        <v>#REF!</v>
      </c>
      <c r="N32" s="56" t="e">
        <f>_xlfn.XLOOKUP(
    C32 &amp; "|" &amp; D32 &amp; "|" &amp; E32,#REF!,#REF!,
   0
)</f>
        <v>#REF!</v>
      </c>
      <c r="O32" s="45" t="e">
        <f t="shared" si="6"/>
        <v>#REF!</v>
      </c>
      <c r="P32" s="45" t="e">
        <f>_xlfn.XLOOKUP(
    C32 &amp; "|" &amp; D32 &amp; "|" &amp; E32,#REF!,#REF!,
    "차열재 없음"
)</f>
        <v>#REF!</v>
      </c>
      <c r="Q32" s="45" t="e">
        <f>_xlfn.XLOOKUP(
    C32 &amp; "|" &amp; D32 &amp; "|" &amp; E32,#REF!,#REF!,
    "0"
)</f>
        <v>#REF!</v>
      </c>
      <c r="R32" s="45" t="e">
        <f>_xlfn.XLOOKUP(
    C32 &amp; "|" &amp; D32 &amp; "|" &amp; E32,#REF!,#REF!,
    "0"
)</f>
        <v>#REF!</v>
      </c>
      <c r="S32" s="45" t="e">
        <f t="shared" si="7"/>
        <v>#REF!</v>
      </c>
      <c r="T32" s="79" t="e">
        <f>_xlfn.XLOOKUP(
    C32 &amp; "|" &amp; D32 &amp; "|" &amp; E32,#REF!,#REF!,
    0
)</f>
        <v>#REF!</v>
      </c>
      <c r="U32" s="78" t="e">
        <f t="shared" si="8"/>
        <v>#REF!</v>
      </c>
      <c r="V32" s="67" t="e">
        <f>_xlfn.XLOOKUP(
    C32 &amp; "|" &amp; D32 &amp; "|" &amp; E32,#REF!,#REF!,
    0
)</f>
        <v>#REF!</v>
      </c>
      <c r="W32" s="67" t="e">
        <f t="shared" si="9"/>
        <v>#REF!</v>
      </c>
      <c r="X32" s="67" t="e">
        <f t="shared" si="10"/>
        <v>#REF!</v>
      </c>
      <c r="Y32" s="35" t="e">
        <f t="shared" si="11"/>
        <v>#REF!</v>
      </c>
    </row>
    <row r="33" spans="2:25" ht="26.5" customHeight="1">
      <c r="B33" s="34">
        <f t="shared" si="5"/>
        <v>21</v>
      </c>
      <c r="C33" s="40"/>
      <c r="D33" s="40"/>
      <c r="E33" s="41"/>
      <c r="F33" s="152"/>
      <c r="G33" s="37"/>
      <c r="H33" s="37"/>
      <c r="I33" s="132"/>
      <c r="J33" s="36"/>
      <c r="K33" s="45" t="e">
        <f>IF(V33=0,
    "판매가 없음",
    _xlfn.XLOOKUP(
        C33 &amp; "|" &amp; D33 &amp; "|" &amp; E33,#REF!,#REF!,
        "0"
    )
)</f>
        <v>#REF!</v>
      </c>
      <c r="L33" s="56" t="e">
        <f>_xlfn.XLOOKUP(
    C33 &amp; "|" &amp; D33 &amp; "|" &amp; E33,#REF!,#REF!,
   0
)</f>
        <v>#REF!</v>
      </c>
      <c r="M33" s="136" t="e">
        <f>_xlfn.XLOOKUP(
    C33 &amp; "|" &amp; D33 &amp; "|" &amp; E33,#REF!,#REF!,
   0
)</f>
        <v>#REF!</v>
      </c>
      <c r="N33" s="56" t="e">
        <f>_xlfn.XLOOKUP(
    C33 &amp; "|" &amp; D33 &amp; "|" &amp; E33,#REF!,#REF!,
   0
)</f>
        <v>#REF!</v>
      </c>
      <c r="O33" s="45" t="e">
        <f t="shared" si="6"/>
        <v>#REF!</v>
      </c>
      <c r="P33" s="45" t="e">
        <f>_xlfn.XLOOKUP(
    C33 &amp; "|" &amp; D33 &amp; "|" &amp; E33,#REF!,#REF!,
    "차열재 없음"
)</f>
        <v>#REF!</v>
      </c>
      <c r="Q33" s="45" t="e">
        <f>_xlfn.XLOOKUP(
    C33 &amp; "|" &amp; D33 &amp; "|" &amp; E33,#REF!,#REF!,
    "0"
)</f>
        <v>#REF!</v>
      </c>
      <c r="R33" s="45" t="e">
        <f>_xlfn.XLOOKUP(
    C33 &amp; "|" &amp; D33 &amp; "|" &amp; E33,#REF!,#REF!,
    "0"
)</f>
        <v>#REF!</v>
      </c>
      <c r="S33" s="45" t="e">
        <f t="shared" si="7"/>
        <v>#REF!</v>
      </c>
      <c r="T33" s="79" t="e">
        <f>_xlfn.XLOOKUP(
    C33 &amp; "|" &amp; D33 &amp; "|" &amp; E33,#REF!,#REF!,
    0
)</f>
        <v>#REF!</v>
      </c>
      <c r="U33" s="78" t="e">
        <f t="shared" si="8"/>
        <v>#REF!</v>
      </c>
      <c r="V33" s="67" t="e">
        <f>_xlfn.XLOOKUP(
    C33 &amp; "|" &amp; D33 &amp; "|" &amp; E33,#REF!,#REF!,
    0
)</f>
        <v>#REF!</v>
      </c>
      <c r="W33" s="67" t="e">
        <f t="shared" si="9"/>
        <v>#REF!</v>
      </c>
      <c r="X33" s="67" t="e">
        <f t="shared" si="10"/>
        <v>#REF!</v>
      </c>
      <c r="Y33" s="35" t="e">
        <f t="shared" si="11"/>
        <v>#REF!</v>
      </c>
    </row>
    <row r="34" spans="2:25" ht="26.5" customHeight="1">
      <c r="B34" s="34">
        <f t="shared" si="5"/>
        <v>22</v>
      </c>
      <c r="C34" s="40"/>
      <c r="D34" s="40"/>
      <c r="E34" s="41"/>
      <c r="F34" s="152"/>
      <c r="G34" s="37"/>
      <c r="H34" s="37"/>
      <c r="I34" s="132"/>
      <c r="J34" s="36"/>
      <c r="K34" s="45" t="e">
        <f>IF(V34=0,
    "판매가 없음",
    _xlfn.XLOOKUP(
        C34 &amp; "|" &amp; D34 &amp; "|" &amp; E34,#REF!,#REF!,
        "0"
    )
)</f>
        <v>#REF!</v>
      </c>
      <c r="L34" s="56" t="e">
        <f>_xlfn.XLOOKUP(
    C34 &amp; "|" &amp; D34 &amp; "|" &amp; E34,#REF!,#REF!,
   0
)</f>
        <v>#REF!</v>
      </c>
      <c r="M34" s="136" t="e">
        <f>_xlfn.XLOOKUP(
    C34 &amp; "|" &amp; D34 &amp; "|" &amp; E34,#REF!,#REF!,
   0
)</f>
        <v>#REF!</v>
      </c>
      <c r="N34" s="56" t="e">
        <f>_xlfn.XLOOKUP(
    C34 &amp; "|" &amp; D34 &amp; "|" &amp; E34,#REF!,#REF!,
   0
)</f>
        <v>#REF!</v>
      </c>
      <c r="O34" s="45" t="e">
        <f t="shared" si="6"/>
        <v>#REF!</v>
      </c>
      <c r="P34" s="45" t="e">
        <f>_xlfn.XLOOKUP(
    C34 &amp; "|" &amp; D34 &amp; "|" &amp; E34,#REF!,#REF!,
    "차열재 없음"
)</f>
        <v>#REF!</v>
      </c>
      <c r="Q34" s="45" t="e">
        <f>_xlfn.XLOOKUP(
    C34 &amp; "|" &amp; D34 &amp; "|" &amp; E34,#REF!,#REF!,
    "0"
)</f>
        <v>#REF!</v>
      </c>
      <c r="R34" s="45" t="e">
        <f>_xlfn.XLOOKUP(
    C34 &amp; "|" &amp; D34 &amp; "|" &amp; E34,#REF!,#REF!,
    "0"
)</f>
        <v>#REF!</v>
      </c>
      <c r="S34" s="45" t="e">
        <f t="shared" si="7"/>
        <v>#REF!</v>
      </c>
      <c r="T34" s="79" t="e">
        <f>_xlfn.XLOOKUP(
    C34 &amp; "|" &amp; D34 &amp; "|" &amp; E34,#REF!,#REF!,
    0
)</f>
        <v>#REF!</v>
      </c>
      <c r="U34" s="78" t="e">
        <f t="shared" si="8"/>
        <v>#REF!</v>
      </c>
      <c r="V34" s="67" t="e">
        <f>_xlfn.XLOOKUP(
    C34 &amp; "|" &amp; D34 &amp; "|" &amp; E34,#REF!,#REF!,
    0
)</f>
        <v>#REF!</v>
      </c>
      <c r="W34" s="67" t="e">
        <f t="shared" si="9"/>
        <v>#REF!</v>
      </c>
      <c r="X34" s="67" t="e">
        <f t="shared" si="10"/>
        <v>#REF!</v>
      </c>
      <c r="Y34" s="35" t="e">
        <f t="shared" si="11"/>
        <v>#REF!</v>
      </c>
    </row>
    <row r="35" spans="2:25" ht="26.5" customHeight="1">
      <c r="B35" s="34">
        <f t="shared" si="5"/>
        <v>23</v>
      </c>
      <c r="C35" s="40"/>
      <c r="D35" s="40"/>
      <c r="E35" s="41"/>
      <c r="F35" s="152"/>
      <c r="G35" s="37"/>
      <c r="H35" s="37"/>
      <c r="I35" s="132"/>
      <c r="J35" s="36"/>
      <c r="K35" s="45" t="e">
        <f>IF(V35=0,
    "판매가 없음",
    _xlfn.XLOOKUP(
        C35 &amp; "|" &amp; D35 &amp; "|" &amp; E35,#REF!,#REF!,
        "0"
    )
)</f>
        <v>#REF!</v>
      </c>
      <c r="L35" s="56" t="e">
        <f>_xlfn.XLOOKUP(
    C35 &amp; "|" &amp; D35 &amp; "|" &amp; E35,#REF!,#REF!,
   0
)</f>
        <v>#REF!</v>
      </c>
      <c r="M35" s="136" t="e">
        <f>_xlfn.XLOOKUP(
    C35 &amp; "|" &amp; D35 &amp; "|" &amp; E35,#REF!,#REF!,
   0
)</f>
        <v>#REF!</v>
      </c>
      <c r="N35" s="56" t="e">
        <f>_xlfn.XLOOKUP(
    C35 &amp; "|" &amp; D35 &amp; "|" &amp; E35,#REF!,#REF!,
   0
)</f>
        <v>#REF!</v>
      </c>
      <c r="O35" s="45" t="e">
        <f t="shared" si="6"/>
        <v>#REF!</v>
      </c>
      <c r="P35" s="45" t="e">
        <f>_xlfn.XLOOKUP(
    C35 &amp; "|" &amp; D35 &amp; "|" &amp; E35,#REF!,#REF!,
    "차열재 없음"
)</f>
        <v>#REF!</v>
      </c>
      <c r="Q35" s="45" t="e">
        <f>_xlfn.XLOOKUP(
    C35 &amp; "|" &amp; D35 &amp; "|" &amp; E35,#REF!,#REF!,
    "0"
)</f>
        <v>#REF!</v>
      </c>
      <c r="R35" s="45" t="e">
        <f>_xlfn.XLOOKUP(
    C35 &amp; "|" &amp; D35 &amp; "|" &amp; E35,#REF!,#REF!,
    "0"
)</f>
        <v>#REF!</v>
      </c>
      <c r="S35" s="45" t="e">
        <f t="shared" si="7"/>
        <v>#REF!</v>
      </c>
      <c r="T35" s="79" t="e">
        <f>_xlfn.XLOOKUP(
    C35 &amp; "|" &amp; D35 &amp; "|" &amp; E35,#REF!,#REF!,
    0
)</f>
        <v>#REF!</v>
      </c>
      <c r="U35" s="78" t="e">
        <f t="shared" si="8"/>
        <v>#REF!</v>
      </c>
      <c r="V35" s="67" t="e">
        <f>_xlfn.XLOOKUP(
    C35 &amp; "|" &amp; D35 &amp; "|" &amp; E35,#REF!,#REF!,
    0
)</f>
        <v>#REF!</v>
      </c>
      <c r="W35" s="67" t="e">
        <f t="shared" si="9"/>
        <v>#REF!</v>
      </c>
      <c r="X35" s="67" t="e">
        <f t="shared" si="10"/>
        <v>#REF!</v>
      </c>
      <c r="Y35" s="35" t="e">
        <f t="shared" si="11"/>
        <v>#REF!</v>
      </c>
    </row>
    <row r="36" spans="2:25" ht="26.5" customHeight="1">
      <c r="B36" s="34">
        <f t="shared" si="5"/>
        <v>24</v>
      </c>
      <c r="C36" s="40"/>
      <c r="D36" s="40"/>
      <c r="E36" s="41"/>
      <c r="F36" s="152"/>
      <c r="G36" s="37"/>
      <c r="H36" s="37"/>
      <c r="I36" s="132"/>
      <c r="J36" s="36"/>
      <c r="K36" s="45" t="e">
        <f>IF(V36=0,
    "판매가 없음",
    _xlfn.XLOOKUP(
        C36 &amp; "|" &amp; D36 &amp; "|" &amp; E36,#REF!,#REF!,
        "0"
    )
)</f>
        <v>#REF!</v>
      </c>
      <c r="L36" s="56" t="e">
        <f>_xlfn.XLOOKUP(
    C36 &amp; "|" &amp; D36 &amp; "|" &amp; E36,#REF!,#REF!,
   0
)</f>
        <v>#REF!</v>
      </c>
      <c r="M36" s="136" t="e">
        <f>_xlfn.XLOOKUP(
    C36 &amp; "|" &amp; D36 &amp; "|" &amp; E36,#REF!,#REF!,
   0
)</f>
        <v>#REF!</v>
      </c>
      <c r="N36" s="56" t="e">
        <f>_xlfn.XLOOKUP(
    C36 &amp; "|" &amp; D36 &amp; "|" &amp; E36,#REF!,#REF!,
   0
)</f>
        <v>#REF!</v>
      </c>
      <c r="O36" s="45" t="e">
        <f t="shared" si="6"/>
        <v>#REF!</v>
      </c>
      <c r="P36" s="45" t="e">
        <f>_xlfn.XLOOKUP(
    C36 &amp; "|" &amp; D36 &amp; "|" &amp; E36,#REF!,#REF!,
    "차열재 없음"
)</f>
        <v>#REF!</v>
      </c>
      <c r="Q36" s="45" t="e">
        <f>_xlfn.XLOOKUP(
    C36 &amp; "|" &amp; D36 &amp; "|" &amp; E36,#REF!,#REF!,
    "0"
)</f>
        <v>#REF!</v>
      </c>
      <c r="R36" s="45" t="e">
        <f>_xlfn.XLOOKUP(
    C36 &amp; "|" &amp; D36 &amp; "|" &amp; E36,#REF!,#REF!,
    "0"
)</f>
        <v>#REF!</v>
      </c>
      <c r="S36" s="45" t="e">
        <f t="shared" si="7"/>
        <v>#REF!</v>
      </c>
      <c r="T36" s="79" t="e">
        <f>_xlfn.XLOOKUP(
    C36 &amp; "|" &amp; D36 &amp; "|" &amp; E36,#REF!,#REF!,
    0
)</f>
        <v>#REF!</v>
      </c>
      <c r="U36" s="78" t="e">
        <f t="shared" si="8"/>
        <v>#REF!</v>
      </c>
      <c r="V36" s="67" t="e">
        <f>_xlfn.XLOOKUP(
    C36 &amp; "|" &amp; D36 &amp; "|" &amp; E36,#REF!,#REF!,
    0
)</f>
        <v>#REF!</v>
      </c>
      <c r="W36" s="67" t="e">
        <f t="shared" si="9"/>
        <v>#REF!</v>
      </c>
      <c r="X36" s="67" t="e">
        <f t="shared" si="10"/>
        <v>#REF!</v>
      </c>
      <c r="Y36" s="35" t="e">
        <f t="shared" si="11"/>
        <v>#REF!</v>
      </c>
    </row>
    <row r="37" spans="2:25" ht="26.5" customHeight="1">
      <c r="B37" s="34">
        <f t="shared" si="5"/>
        <v>25</v>
      </c>
      <c r="C37" s="40"/>
      <c r="D37" s="40"/>
      <c r="E37" s="41"/>
      <c r="F37" s="152"/>
      <c r="G37" s="37"/>
      <c r="H37" s="37"/>
      <c r="I37" s="132"/>
      <c r="J37" s="36"/>
      <c r="K37" s="45" t="e">
        <f>IF(V37=0,
    "판매가 없음",
    _xlfn.XLOOKUP(
        C37 &amp; "|" &amp; D37 &amp; "|" &amp; E37,#REF!,#REF!,
        "0"
    )
)</f>
        <v>#REF!</v>
      </c>
      <c r="L37" s="56" t="e">
        <f>_xlfn.XLOOKUP(
    C37 &amp; "|" &amp; D37 &amp; "|" &amp; E37,#REF!,#REF!,
   0
)</f>
        <v>#REF!</v>
      </c>
      <c r="M37" s="136" t="e">
        <f>_xlfn.XLOOKUP(
    C37 &amp; "|" &amp; D37 &amp; "|" &amp; E37,#REF!,#REF!,
   0
)</f>
        <v>#REF!</v>
      </c>
      <c r="N37" s="56" t="e">
        <f>_xlfn.XLOOKUP(
    C37 &amp; "|" &amp; D37 &amp; "|" &amp; E37,#REF!,#REF!,
   0
)</f>
        <v>#REF!</v>
      </c>
      <c r="O37" s="45" t="e">
        <f t="shared" si="6"/>
        <v>#REF!</v>
      </c>
      <c r="P37" s="45" t="e">
        <f>_xlfn.XLOOKUP(
    C37 &amp; "|" &amp; D37 &amp; "|" &amp; E37,#REF!,#REF!,
    "차열재 없음"
)</f>
        <v>#REF!</v>
      </c>
      <c r="Q37" s="45" t="e">
        <f>_xlfn.XLOOKUP(
    C37 &amp; "|" &amp; D37 &amp; "|" &amp; E37,#REF!,#REF!,
    "0"
)</f>
        <v>#REF!</v>
      </c>
      <c r="R37" s="45" t="e">
        <f>_xlfn.XLOOKUP(
    C37 &amp; "|" &amp; D37 &amp; "|" &amp; E37,#REF!,#REF!,
    "0"
)</f>
        <v>#REF!</v>
      </c>
      <c r="S37" s="45" t="e">
        <f t="shared" si="7"/>
        <v>#REF!</v>
      </c>
      <c r="T37" s="79" t="e">
        <f>_xlfn.XLOOKUP(
    C37 &amp; "|" &amp; D37 &amp; "|" &amp; E37,#REF!,#REF!,
    0
)</f>
        <v>#REF!</v>
      </c>
      <c r="U37" s="78" t="e">
        <f t="shared" si="8"/>
        <v>#REF!</v>
      </c>
      <c r="V37" s="67" t="e">
        <f>_xlfn.XLOOKUP(
    C37 &amp; "|" &amp; D37 &amp; "|" &amp; E37,#REF!,#REF!,
    0
)</f>
        <v>#REF!</v>
      </c>
      <c r="W37" s="67" t="e">
        <f t="shared" si="9"/>
        <v>#REF!</v>
      </c>
      <c r="X37" s="67" t="e">
        <f t="shared" si="10"/>
        <v>#REF!</v>
      </c>
      <c r="Y37" s="35" t="e">
        <f t="shared" si="11"/>
        <v>#REF!</v>
      </c>
    </row>
    <row r="38" spans="2:25" ht="26.5" customHeight="1">
      <c r="B38" s="34">
        <f t="shared" si="5"/>
        <v>26</v>
      </c>
      <c r="C38" s="40"/>
      <c r="D38" s="40"/>
      <c r="E38" s="41"/>
      <c r="F38" s="152"/>
      <c r="G38" s="37"/>
      <c r="H38" s="37"/>
      <c r="I38" s="132"/>
      <c r="J38" s="36"/>
      <c r="K38" s="45" t="e">
        <f>IF(V38=0,
    "판매가 없음",
    _xlfn.XLOOKUP(
        C38 &amp; "|" &amp; D38 &amp; "|" &amp; E38,#REF!,#REF!,
        "0"
    )
)</f>
        <v>#REF!</v>
      </c>
      <c r="L38" s="56" t="e">
        <f>_xlfn.XLOOKUP(
    C38 &amp; "|" &amp; D38 &amp; "|" &amp; E38,#REF!,#REF!,
   0
)</f>
        <v>#REF!</v>
      </c>
      <c r="M38" s="136" t="e">
        <f>_xlfn.XLOOKUP(
    C38 &amp; "|" &amp; D38 &amp; "|" &amp; E38,#REF!,#REF!,
   0
)</f>
        <v>#REF!</v>
      </c>
      <c r="N38" s="56" t="e">
        <f>_xlfn.XLOOKUP(
    C38 &amp; "|" &amp; D38 &amp; "|" &amp; E38,#REF!,#REF!,
   0
)</f>
        <v>#REF!</v>
      </c>
      <c r="O38" s="45" t="e">
        <f t="shared" si="6"/>
        <v>#REF!</v>
      </c>
      <c r="P38" s="45" t="e">
        <f>_xlfn.XLOOKUP(
    C38 &amp; "|" &amp; D38 &amp; "|" &amp; E38,#REF!,#REF!,
    "차열재 없음"
)</f>
        <v>#REF!</v>
      </c>
      <c r="Q38" s="45" t="e">
        <f>_xlfn.XLOOKUP(
    C38 &amp; "|" &amp; D38 &amp; "|" &amp; E38,#REF!,#REF!,
    "0"
)</f>
        <v>#REF!</v>
      </c>
      <c r="R38" s="45" t="e">
        <f>_xlfn.XLOOKUP(
    C38 &amp; "|" &amp; D38 &amp; "|" &amp; E38,#REF!,#REF!,
    "0"
)</f>
        <v>#REF!</v>
      </c>
      <c r="S38" s="45" t="e">
        <f t="shared" si="7"/>
        <v>#REF!</v>
      </c>
      <c r="T38" s="79" t="e">
        <f>_xlfn.XLOOKUP(
    C38 &amp; "|" &amp; D38 &amp; "|" &amp; E38,#REF!,#REF!,
    0
)</f>
        <v>#REF!</v>
      </c>
      <c r="U38" s="78" t="e">
        <f t="shared" si="8"/>
        <v>#REF!</v>
      </c>
      <c r="V38" s="67" t="e">
        <f>_xlfn.XLOOKUP(
    C38 &amp; "|" &amp; D38 &amp; "|" &amp; E38,#REF!,#REF!,
    0
)</f>
        <v>#REF!</v>
      </c>
      <c r="W38" s="67" t="e">
        <f t="shared" si="9"/>
        <v>#REF!</v>
      </c>
      <c r="X38" s="67" t="e">
        <f t="shared" si="10"/>
        <v>#REF!</v>
      </c>
      <c r="Y38" s="35" t="e">
        <f t="shared" si="11"/>
        <v>#REF!</v>
      </c>
    </row>
    <row r="39" spans="2:25" ht="26.5" customHeight="1">
      <c r="B39" s="34">
        <f t="shared" si="5"/>
        <v>27</v>
      </c>
      <c r="C39" s="40"/>
      <c r="D39" s="40"/>
      <c r="E39" s="41"/>
      <c r="F39" s="152"/>
      <c r="G39" s="37"/>
      <c r="H39" s="37"/>
      <c r="I39" s="132"/>
      <c r="J39" s="36"/>
      <c r="K39" s="45" t="e">
        <f>IF(V39=0,
    "판매가 없음",
    _xlfn.XLOOKUP(
        C39 &amp; "|" &amp; D39 &amp; "|" &amp; E39,#REF!,#REF!,
        "0"
    )
)</f>
        <v>#REF!</v>
      </c>
      <c r="L39" s="56" t="e">
        <f>_xlfn.XLOOKUP(
    C39 &amp; "|" &amp; D39 &amp; "|" &amp; E39,#REF!,#REF!,
   0
)</f>
        <v>#REF!</v>
      </c>
      <c r="M39" s="136" t="e">
        <f>_xlfn.XLOOKUP(
    C39 &amp; "|" &amp; D39 &amp; "|" &amp; E39,#REF!,#REF!,
   0
)</f>
        <v>#REF!</v>
      </c>
      <c r="N39" s="56" t="e">
        <f>_xlfn.XLOOKUP(
    C39 &amp; "|" &amp; D39 &amp; "|" &amp; E39,#REF!,#REF!,
   0
)</f>
        <v>#REF!</v>
      </c>
      <c r="O39" s="45" t="e">
        <f t="shared" si="6"/>
        <v>#REF!</v>
      </c>
      <c r="P39" s="45" t="e">
        <f>_xlfn.XLOOKUP(
    C39 &amp; "|" &amp; D39 &amp; "|" &amp; E39,#REF!,#REF!,
    "차열재 없음"
)</f>
        <v>#REF!</v>
      </c>
      <c r="Q39" s="45" t="e">
        <f>_xlfn.XLOOKUP(
    C39 &amp; "|" &amp; D39 &amp; "|" &amp; E39,#REF!,#REF!,
    "0"
)</f>
        <v>#REF!</v>
      </c>
      <c r="R39" s="45" t="e">
        <f>_xlfn.XLOOKUP(
    C39 &amp; "|" &amp; D39 &amp; "|" &amp; E39,#REF!,#REF!,
    "0"
)</f>
        <v>#REF!</v>
      </c>
      <c r="S39" s="45" t="e">
        <f t="shared" si="7"/>
        <v>#REF!</v>
      </c>
      <c r="T39" s="79" t="e">
        <f>_xlfn.XLOOKUP(
    C39 &amp; "|" &amp; D39 &amp; "|" &amp; E39,#REF!,#REF!,
    0
)</f>
        <v>#REF!</v>
      </c>
      <c r="U39" s="78" t="e">
        <f t="shared" si="8"/>
        <v>#REF!</v>
      </c>
      <c r="V39" s="67" t="e">
        <f>_xlfn.XLOOKUP(
    C39 &amp; "|" &amp; D39 &amp; "|" &amp; E39,#REF!,#REF!,
    0
)</f>
        <v>#REF!</v>
      </c>
      <c r="W39" s="67" t="e">
        <f t="shared" si="9"/>
        <v>#REF!</v>
      </c>
      <c r="X39" s="67" t="e">
        <f t="shared" si="10"/>
        <v>#REF!</v>
      </c>
      <c r="Y39" s="35" t="e">
        <f t="shared" si="11"/>
        <v>#REF!</v>
      </c>
    </row>
    <row r="40" spans="2:25" ht="26.5" customHeight="1">
      <c r="B40" s="34">
        <f t="shared" si="5"/>
        <v>28</v>
      </c>
      <c r="C40" s="40"/>
      <c r="D40" s="40"/>
      <c r="E40" s="41"/>
      <c r="F40" s="152"/>
      <c r="G40" s="37"/>
      <c r="H40" s="37"/>
      <c r="I40" s="132"/>
      <c r="J40" s="36"/>
      <c r="K40" s="45" t="e">
        <f>IF(V40=0,
    "판매가 없음",
    _xlfn.XLOOKUP(
        C40 &amp; "|" &amp; D40 &amp; "|" &amp; E40,#REF!,#REF!,
        "0"
    )
)</f>
        <v>#REF!</v>
      </c>
      <c r="L40" s="56" t="e">
        <f>_xlfn.XLOOKUP(
    C40 &amp; "|" &amp; D40 &amp; "|" &amp; E40,#REF!,#REF!,
   0
)</f>
        <v>#REF!</v>
      </c>
      <c r="M40" s="136" t="e">
        <f>_xlfn.XLOOKUP(
    C40 &amp; "|" &amp; D40 &amp; "|" &amp; E40,#REF!,#REF!,
   0
)</f>
        <v>#REF!</v>
      </c>
      <c r="N40" s="56" t="e">
        <f>_xlfn.XLOOKUP(
    C40 &amp; "|" &amp; D40 &amp; "|" &amp; E40,#REF!,#REF!,
   0
)</f>
        <v>#REF!</v>
      </c>
      <c r="O40" s="45" t="e">
        <f t="shared" si="6"/>
        <v>#REF!</v>
      </c>
      <c r="P40" s="45" t="e">
        <f>_xlfn.XLOOKUP(
    C40 &amp; "|" &amp; D40 &amp; "|" &amp; E40,#REF!,#REF!,
    "차열재 없음"
)</f>
        <v>#REF!</v>
      </c>
      <c r="Q40" s="45" t="e">
        <f>_xlfn.XLOOKUP(
    C40 &amp; "|" &amp; D40 &amp; "|" &amp; E40,#REF!,#REF!,
    "0"
)</f>
        <v>#REF!</v>
      </c>
      <c r="R40" s="45" t="e">
        <f>_xlfn.XLOOKUP(
    C40 &amp; "|" &amp; D40 &amp; "|" &amp; E40,#REF!,#REF!,
    "0"
)</f>
        <v>#REF!</v>
      </c>
      <c r="S40" s="45" t="e">
        <f t="shared" si="7"/>
        <v>#REF!</v>
      </c>
      <c r="T40" s="79" t="e">
        <f>_xlfn.XLOOKUP(
    C40 &amp; "|" &amp; D40 &amp; "|" &amp; E40,#REF!,#REF!,
    0
)</f>
        <v>#REF!</v>
      </c>
      <c r="U40" s="78" t="e">
        <f t="shared" si="8"/>
        <v>#REF!</v>
      </c>
      <c r="V40" s="67" t="e">
        <f>_xlfn.XLOOKUP(
    C40 &amp; "|" &amp; D40 &amp; "|" &amp; E40,#REF!,#REF!,
    0
)</f>
        <v>#REF!</v>
      </c>
      <c r="W40" s="67" t="e">
        <f t="shared" si="9"/>
        <v>#REF!</v>
      </c>
      <c r="X40" s="67" t="e">
        <f t="shared" si="10"/>
        <v>#REF!</v>
      </c>
      <c r="Y40" s="35" t="e">
        <f t="shared" si="11"/>
        <v>#REF!</v>
      </c>
    </row>
    <row r="41" spans="2:25" ht="26.5" customHeight="1">
      <c r="B41" s="34">
        <f t="shared" si="5"/>
        <v>29</v>
      </c>
      <c r="C41" s="40"/>
      <c r="D41" s="40"/>
      <c r="E41" s="41"/>
      <c r="F41" s="152"/>
      <c r="G41" s="37"/>
      <c r="H41" s="37"/>
      <c r="I41" s="132"/>
      <c r="J41" s="36"/>
      <c r="K41" s="45" t="e">
        <f>IF(V41=0,
    "판매가 없음",
    _xlfn.XLOOKUP(
        C41 &amp; "|" &amp; D41 &amp; "|" &amp; E41,#REF!,#REF!,
        "0"
    )
)</f>
        <v>#REF!</v>
      </c>
      <c r="L41" s="56" t="e">
        <f>_xlfn.XLOOKUP(
    C41 &amp; "|" &amp; D41 &amp; "|" &amp; E41,#REF!,#REF!,
   0
)</f>
        <v>#REF!</v>
      </c>
      <c r="M41" s="136" t="e">
        <f>_xlfn.XLOOKUP(
    C41 &amp; "|" &amp; D41 &amp; "|" &amp; E41,#REF!,#REF!,
   0
)</f>
        <v>#REF!</v>
      </c>
      <c r="N41" s="56" t="e">
        <f>_xlfn.XLOOKUP(
    C41 &amp; "|" &amp; D41 &amp; "|" &amp; E41,#REF!,#REF!,
   0
)</f>
        <v>#REF!</v>
      </c>
      <c r="O41" s="45" t="e">
        <f t="shared" si="6"/>
        <v>#REF!</v>
      </c>
      <c r="P41" s="45" t="e">
        <f>_xlfn.XLOOKUP(
    C41 &amp; "|" &amp; D41 &amp; "|" &amp; E41,#REF!,#REF!,
    "차열재 없음"
)</f>
        <v>#REF!</v>
      </c>
      <c r="Q41" s="45" t="e">
        <f>_xlfn.XLOOKUP(
    C41 &amp; "|" &amp; D41 &amp; "|" &amp; E41,#REF!,#REF!,
    "0"
)</f>
        <v>#REF!</v>
      </c>
      <c r="R41" s="45" t="e">
        <f>_xlfn.XLOOKUP(
    C41 &amp; "|" &amp; D41 &amp; "|" &amp; E41,#REF!,#REF!,
    "0"
)</f>
        <v>#REF!</v>
      </c>
      <c r="S41" s="45" t="e">
        <f t="shared" si="7"/>
        <v>#REF!</v>
      </c>
      <c r="T41" s="79" t="e">
        <f>_xlfn.XLOOKUP(
    C41 &amp; "|" &amp; D41 &amp; "|" &amp; E41,#REF!,#REF!,
    0
)</f>
        <v>#REF!</v>
      </c>
      <c r="U41" s="78" t="e">
        <f t="shared" si="8"/>
        <v>#REF!</v>
      </c>
      <c r="V41" s="67" t="e">
        <f>_xlfn.XLOOKUP(
    C41 &amp; "|" &amp; D41 &amp; "|" &amp; E41,#REF!,#REF!,
    0
)</f>
        <v>#REF!</v>
      </c>
      <c r="W41" s="67" t="e">
        <f t="shared" si="9"/>
        <v>#REF!</v>
      </c>
      <c r="X41" s="67" t="e">
        <f t="shared" si="10"/>
        <v>#REF!</v>
      </c>
      <c r="Y41" s="35" t="e">
        <f t="shared" si="11"/>
        <v>#REF!</v>
      </c>
    </row>
    <row r="42" spans="2:25" ht="26.5" customHeight="1">
      <c r="B42" s="34">
        <f t="shared" si="5"/>
        <v>30</v>
      </c>
      <c r="C42" s="40"/>
      <c r="D42" s="40"/>
      <c r="E42" s="41"/>
      <c r="F42" s="152"/>
      <c r="G42" s="37"/>
      <c r="H42" s="37"/>
      <c r="I42" s="132"/>
      <c r="J42" s="36"/>
      <c r="K42" s="45" t="e">
        <f>IF(V42=0,
    "판매가 없음",
    _xlfn.XLOOKUP(
        C42 &amp; "|" &amp; D42 &amp; "|" &amp; E42,#REF!,#REF!,
        "0"
    )
)</f>
        <v>#REF!</v>
      </c>
      <c r="L42" s="56" t="e">
        <f>_xlfn.XLOOKUP(
    C42 &amp; "|" &amp; D42 &amp; "|" &amp; E42,#REF!,#REF!,
   0
)</f>
        <v>#REF!</v>
      </c>
      <c r="M42" s="136" t="e">
        <f>_xlfn.XLOOKUP(
    C42 &amp; "|" &amp; D42 &amp; "|" &amp; E42,#REF!,#REF!,
   0
)</f>
        <v>#REF!</v>
      </c>
      <c r="N42" s="56" t="e">
        <f>_xlfn.XLOOKUP(
    C42 &amp; "|" &amp; D42 &amp; "|" &amp; E42,#REF!,#REF!,
   0
)</f>
        <v>#REF!</v>
      </c>
      <c r="O42" s="45" t="e">
        <f t="shared" si="6"/>
        <v>#REF!</v>
      </c>
      <c r="P42" s="45" t="e">
        <f>_xlfn.XLOOKUP(
    C42 &amp; "|" &amp; D42 &amp; "|" &amp; E42,#REF!,#REF!,
    "차열재 없음"
)</f>
        <v>#REF!</v>
      </c>
      <c r="Q42" s="45" t="e">
        <f>_xlfn.XLOOKUP(
    C42 &amp; "|" &amp; D42 &amp; "|" &amp; E42,#REF!,#REF!,
    "0"
)</f>
        <v>#REF!</v>
      </c>
      <c r="R42" s="45" t="e">
        <f>_xlfn.XLOOKUP(
    C42 &amp; "|" &amp; D42 &amp; "|" &amp; E42,#REF!,#REF!,
    "0"
)</f>
        <v>#REF!</v>
      </c>
      <c r="S42" s="45" t="e">
        <f t="shared" si="7"/>
        <v>#REF!</v>
      </c>
      <c r="T42" s="79" t="e">
        <f>_xlfn.XLOOKUP(
    C42 &amp; "|" &amp; D42 &amp; "|" &amp; E42,#REF!,#REF!,
    0
)</f>
        <v>#REF!</v>
      </c>
      <c r="U42" s="78" t="e">
        <f t="shared" si="8"/>
        <v>#REF!</v>
      </c>
      <c r="V42" s="67" t="e">
        <f>_xlfn.XLOOKUP(
    C42 &amp; "|" &amp; D42 &amp; "|" &amp; E42,#REF!,#REF!,
    0
)</f>
        <v>#REF!</v>
      </c>
      <c r="W42" s="67" t="e">
        <f t="shared" si="9"/>
        <v>#REF!</v>
      </c>
      <c r="X42" s="67" t="e">
        <f t="shared" si="10"/>
        <v>#REF!</v>
      </c>
      <c r="Y42" s="35" t="e">
        <f t="shared" si="11"/>
        <v>#REF!</v>
      </c>
    </row>
    <row r="43" spans="2:25" ht="26.5" customHeight="1">
      <c r="B43" s="34">
        <f t="shared" si="5"/>
        <v>31</v>
      </c>
      <c r="C43" s="40"/>
      <c r="D43" s="40"/>
      <c r="E43" s="41"/>
      <c r="F43" s="152"/>
      <c r="G43" s="37"/>
      <c r="H43" s="37"/>
      <c r="I43" s="132"/>
      <c r="J43" s="36"/>
      <c r="K43" s="45" t="e">
        <f>IF(V43=0,
    "판매가 없음",
    _xlfn.XLOOKUP(
        C43 &amp; "|" &amp; D43 &amp; "|" &amp; E43,#REF!,#REF!,
        "0"
    )
)</f>
        <v>#REF!</v>
      </c>
      <c r="L43" s="56" t="e">
        <f>_xlfn.XLOOKUP(
    C43 &amp; "|" &amp; D43 &amp; "|" &amp; E43,#REF!,#REF!,
   0
)</f>
        <v>#REF!</v>
      </c>
      <c r="M43" s="136" t="e">
        <f>_xlfn.XLOOKUP(
    C43 &amp; "|" &amp; D43 &amp; "|" &amp; E43,#REF!,#REF!,
   0
)</f>
        <v>#REF!</v>
      </c>
      <c r="N43" s="56" t="e">
        <f>_xlfn.XLOOKUP(
    C43 &amp; "|" &amp; D43 &amp; "|" &amp; E43,#REF!,#REF!,
   0
)</f>
        <v>#REF!</v>
      </c>
      <c r="O43" s="45" t="e">
        <f t="shared" si="6"/>
        <v>#REF!</v>
      </c>
      <c r="P43" s="45" t="e">
        <f>_xlfn.XLOOKUP(
    C43 &amp; "|" &amp; D43 &amp; "|" &amp; E43,#REF!,#REF!,
    "차열재 없음"
)</f>
        <v>#REF!</v>
      </c>
      <c r="Q43" s="45" t="e">
        <f>_xlfn.XLOOKUP(
    C43 &amp; "|" &amp; D43 &amp; "|" &amp; E43,#REF!,#REF!,
    "0"
)</f>
        <v>#REF!</v>
      </c>
      <c r="R43" s="45" t="e">
        <f>_xlfn.XLOOKUP(
    C43 &amp; "|" &amp; D43 &amp; "|" &amp; E43,#REF!,#REF!,
    "0"
)</f>
        <v>#REF!</v>
      </c>
      <c r="S43" s="45" t="e">
        <f t="shared" si="7"/>
        <v>#REF!</v>
      </c>
      <c r="T43" s="79" t="e">
        <f>_xlfn.XLOOKUP(
    C43 &amp; "|" &amp; D43 &amp; "|" &amp; E43,#REF!,#REF!,
    0
)</f>
        <v>#REF!</v>
      </c>
      <c r="U43" s="78" t="e">
        <f t="shared" si="8"/>
        <v>#REF!</v>
      </c>
      <c r="V43" s="67" t="e">
        <f>_xlfn.XLOOKUP(
    C43 &amp; "|" &amp; D43 &amp; "|" &amp; E43,#REF!,#REF!,
    0
)</f>
        <v>#REF!</v>
      </c>
      <c r="W43" s="67" t="e">
        <f t="shared" si="9"/>
        <v>#REF!</v>
      </c>
      <c r="X43" s="67" t="e">
        <f t="shared" si="10"/>
        <v>#REF!</v>
      </c>
      <c r="Y43" s="35" t="e">
        <f t="shared" si="11"/>
        <v>#REF!</v>
      </c>
    </row>
    <row r="44" spans="2:25" ht="26.5" customHeight="1">
      <c r="B44" s="34">
        <f t="shared" si="5"/>
        <v>32</v>
      </c>
      <c r="C44" s="40"/>
      <c r="D44" s="40"/>
      <c r="E44" s="41"/>
      <c r="F44" s="152"/>
      <c r="G44" s="37"/>
      <c r="H44" s="37"/>
      <c r="I44" s="132"/>
      <c r="J44" s="36"/>
      <c r="K44" s="45" t="e">
        <f>IF(V44=0,
    "판매가 없음",
    _xlfn.XLOOKUP(
        C44 &amp; "|" &amp; D44 &amp; "|" &amp; E44,#REF!,#REF!,
        "0"
    )
)</f>
        <v>#REF!</v>
      </c>
      <c r="L44" s="56" t="e">
        <f>_xlfn.XLOOKUP(
    C44 &amp; "|" &amp; D44 &amp; "|" &amp; E44,#REF!,#REF!,
   0
)</f>
        <v>#REF!</v>
      </c>
      <c r="M44" s="136" t="e">
        <f>_xlfn.XLOOKUP(
    C44 &amp; "|" &amp; D44 &amp; "|" &amp; E44,#REF!,#REF!,
   0
)</f>
        <v>#REF!</v>
      </c>
      <c r="N44" s="56" t="e">
        <f>_xlfn.XLOOKUP(
    C44 &amp; "|" &amp; D44 &amp; "|" &amp; E44,#REF!,#REF!,
   0
)</f>
        <v>#REF!</v>
      </c>
      <c r="O44" s="45" t="e">
        <f t="shared" si="6"/>
        <v>#REF!</v>
      </c>
      <c r="P44" s="45" t="e">
        <f>_xlfn.XLOOKUP(
    C44 &amp; "|" &amp; D44 &amp; "|" &amp; E44,#REF!,#REF!,
    "차열재 없음"
)</f>
        <v>#REF!</v>
      </c>
      <c r="Q44" s="45" t="e">
        <f>_xlfn.XLOOKUP(
    C44 &amp; "|" &amp; D44 &amp; "|" &amp; E44,#REF!,#REF!,
    "0"
)</f>
        <v>#REF!</v>
      </c>
      <c r="R44" s="45" t="e">
        <f>_xlfn.XLOOKUP(
    C44 &amp; "|" &amp; D44 &amp; "|" &amp; E44,#REF!,#REF!,
    "0"
)</f>
        <v>#REF!</v>
      </c>
      <c r="S44" s="45" t="e">
        <f t="shared" si="7"/>
        <v>#REF!</v>
      </c>
      <c r="T44" s="79" t="e">
        <f>_xlfn.XLOOKUP(
    C44 &amp; "|" &amp; D44 &amp; "|" &amp; E44,#REF!,#REF!,
    0
)</f>
        <v>#REF!</v>
      </c>
      <c r="U44" s="78" t="e">
        <f t="shared" si="8"/>
        <v>#REF!</v>
      </c>
      <c r="V44" s="67" t="e">
        <f>_xlfn.XLOOKUP(
    C44 &amp; "|" &amp; D44 &amp; "|" &amp; E44,#REF!,#REF!,
    0
)</f>
        <v>#REF!</v>
      </c>
      <c r="W44" s="67" t="e">
        <f t="shared" si="9"/>
        <v>#REF!</v>
      </c>
      <c r="X44" s="67" t="e">
        <f t="shared" si="10"/>
        <v>#REF!</v>
      </c>
      <c r="Y44" s="35" t="e">
        <f t="shared" si="11"/>
        <v>#REF!</v>
      </c>
    </row>
    <row r="45" spans="2:25" ht="26.5" customHeight="1">
      <c r="B45" s="34">
        <f t="shared" si="5"/>
        <v>33</v>
      </c>
      <c r="C45" s="40"/>
      <c r="D45" s="40"/>
      <c r="E45" s="41"/>
      <c r="F45" s="152"/>
      <c r="G45" s="37"/>
      <c r="H45" s="37"/>
      <c r="I45" s="132"/>
      <c r="J45" s="36"/>
      <c r="K45" s="45" t="e">
        <f>IF(V45=0,
    "판매가 없음",
    _xlfn.XLOOKUP(
        C45 &amp; "|" &amp; D45 &amp; "|" &amp; E45,#REF!,#REF!,
        "0"
    )
)</f>
        <v>#REF!</v>
      </c>
      <c r="L45" s="56" t="e">
        <f>_xlfn.XLOOKUP(
    C45 &amp; "|" &amp; D45 &amp; "|" &amp; E45,#REF!,#REF!,
   0
)</f>
        <v>#REF!</v>
      </c>
      <c r="M45" s="136" t="e">
        <f>_xlfn.XLOOKUP(
    C45 &amp; "|" &amp; D45 &amp; "|" &amp; E45,#REF!,#REF!,
   0
)</f>
        <v>#REF!</v>
      </c>
      <c r="N45" s="56" t="e">
        <f>_xlfn.XLOOKUP(
    C45 &amp; "|" &amp; D45 &amp; "|" &amp; E45,#REF!,#REF!,
   0
)</f>
        <v>#REF!</v>
      </c>
      <c r="O45" s="45" t="e">
        <f t="shared" si="6"/>
        <v>#REF!</v>
      </c>
      <c r="P45" s="45" t="e">
        <f>_xlfn.XLOOKUP(
    C45 &amp; "|" &amp; D45 &amp; "|" &amp; E45,#REF!,#REF!,
    "차열재 없음"
)</f>
        <v>#REF!</v>
      </c>
      <c r="Q45" s="45" t="e">
        <f>_xlfn.XLOOKUP(
    C45 &amp; "|" &amp; D45 &amp; "|" &amp; E45,#REF!,#REF!,
    "0"
)</f>
        <v>#REF!</v>
      </c>
      <c r="R45" s="45" t="e">
        <f>_xlfn.XLOOKUP(
    C45 &amp; "|" &amp; D45 &amp; "|" &amp; E45,#REF!,#REF!,
    "0"
)</f>
        <v>#REF!</v>
      </c>
      <c r="S45" s="45" t="e">
        <f t="shared" si="7"/>
        <v>#REF!</v>
      </c>
      <c r="T45" s="79" t="e">
        <f>_xlfn.XLOOKUP(
    C45 &amp; "|" &amp; D45 &amp; "|" &amp; E45,#REF!,#REF!,
    0
)</f>
        <v>#REF!</v>
      </c>
      <c r="U45" s="78" t="e">
        <f t="shared" si="8"/>
        <v>#REF!</v>
      </c>
      <c r="V45" s="67" t="e">
        <f>_xlfn.XLOOKUP(
    C45 &amp; "|" &amp; D45 &amp; "|" &amp; E45,#REF!,#REF!,
    0
)</f>
        <v>#REF!</v>
      </c>
      <c r="W45" s="67" t="e">
        <f t="shared" si="9"/>
        <v>#REF!</v>
      </c>
      <c r="X45" s="67" t="e">
        <f t="shared" si="10"/>
        <v>#REF!</v>
      </c>
      <c r="Y45" s="35" t="e">
        <f t="shared" si="11"/>
        <v>#REF!</v>
      </c>
    </row>
    <row r="46" spans="2:25" ht="26.5" customHeight="1">
      <c r="B46" s="34">
        <f t="shared" si="5"/>
        <v>34</v>
      </c>
      <c r="C46" s="40"/>
      <c r="D46" s="40"/>
      <c r="E46" s="41"/>
      <c r="F46" s="152"/>
      <c r="G46" s="37"/>
      <c r="H46" s="37"/>
      <c r="I46" s="132"/>
      <c r="J46" s="36"/>
      <c r="K46" s="45" t="e">
        <f>IF(V46=0,
    "판매가 없음",
    _xlfn.XLOOKUP(
        C46 &amp; "|" &amp; D46 &amp; "|" &amp; E46,#REF!,#REF!,
        "0"
    )
)</f>
        <v>#REF!</v>
      </c>
      <c r="L46" s="56" t="e">
        <f>_xlfn.XLOOKUP(
    C46 &amp; "|" &amp; D46 &amp; "|" &amp; E46,#REF!,#REF!,
   0
)</f>
        <v>#REF!</v>
      </c>
      <c r="M46" s="136" t="e">
        <f>_xlfn.XLOOKUP(
    C46 &amp; "|" &amp; D46 &amp; "|" &amp; E46,#REF!,#REF!,
   0
)</f>
        <v>#REF!</v>
      </c>
      <c r="N46" s="56" t="e">
        <f>_xlfn.XLOOKUP(
    C46 &amp; "|" &amp; D46 &amp; "|" &amp; E46,#REF!,#REF!,
   0
)</f>
        <v>#REF!</v>
      </c>
      <c r="O46" s="45" t="e">
        <f t="shared" si="6"/>
        <v>#REF!</v>
      </c>
      <c r="P46" s="45" t="e">
        <f>_xlfn.XLOOKUP(
    C46 &amp; "|" &amp; D46 &amp; "|" &amp; E46,#REF!,#REF!,
    "차열재 없음"
)</f>
        <v>#REF!</v>
      </c>
      <c r="Q46" s="45" t="e">
        <f>_xlfn.XLOOKUP(
    C46 &amp; "|" &amp; D46 &amp; "|" &amp; E46,#REF!,#REF!,
    "0"
)</f>
        <v>#REF!</v>
      </c>
      <c r="R46" s="45" t="e">
        <f>_xlfn.XLOOKUP(
    C46 &amp; "|" &amp; D46 &amp; "|" &amp; E46,#REF!,#REF!,
    "0"
)</f>
        <v>#REF!</v>
      </c>
      <c r="S46" s="45" t="e">
        <f t="shared" si="7"/>
        <v>#REF!</v>
      </c>
      <c r="T46" s="79" t="e">
        <f>_xlfn.XLOOKUP(
    C46 &amp; "|" &amp; D46 &amp; "|" &amp; E46,#REF!,#REF!,
    0
)</f>
        <v>#REF!</v>
      </c>
      <c r="U46" s="78" t="e">
        <f t="shared" si="8"/>
        <v>#REF!</v>
      </c>
      <c r="V46" s="67" t="e">
        <f>_xlfn.XLOOKUP(
    C46 &amp; "|" &amp; D46 &amp; "|" &amp; E46,#REF!,#REF!,
    0
)</f>
        <v>#REF!</v>
      </c>
      <c r="W46" s="67" t="e">
        <f t="shared" si="9"/>
        <v>#REF!</v>
      </c>
      <c r="X46" s="67" t="e">
        <f t="shared" si="10"/>
        <v>#REF!</v>
      </c>
      <c r="Y46" s="35" t="e">
        <f t="shared" si="11"/>
        <v>#REF!</v>
      </c>
    </row>
    <row r="47" spans="2:25" ht="26.5" customHeight="1">
      <c r="B47" s="34">
        <f t="shared" si="5"/>
        <v>35</v>
      </c>
      <c r="C47" s="40"/>
      <c r="D47" s="40"/>
      <c r="E47" s="41"/>
      <c r="F47" s="152"/>
      <c r="G47" s="37"/>
      <c r="H47" s="37"/>
      <c r="I47" s="132"/>
      <c r="J47" s="36"/>
      <c r="K47" s="45" t="e">
        <f>IF(V47=0,
    "판매가 없음",
    _xlfn.XLOOKUP(
        C47 &amp; "|" &amp; D47 &amp; "|" &amp; E47,#REF!,#REF!,
        "0"
    )
)</f>
        <v>#REF!</v>
      </c>
      <c r="L47" s="56" t="e">
        <f>_xlfn.XLOOKUP(
    C47 &amp; "|" &amp; D47 &amp; "|" &amp; E47,#REF!,#REF!,
   0
)</f>
        <v>#REF!</v>
      </c>
      <c r="M47" s="136" t="e">
        <f>_xlfn.XLOOKUP(
    C47 &amp; "|" &amp; D47 &amp; "|" &amp; E47,#REF!,#REF!,
   0
)</f>
        <v>#REF!</v>
      </c>
      <c r="N47" s="56" t="e">
        <f>_xlfn.XLOOKUP(
    C47 &amp; "|" &amp; D47 &amp; "|" &amp; E47,#REF!,#REF!,
   0
)</f>
        <v>#REF!</v>
      </c>
      <c r="O47" s="45" t="e">
        <f t="shared" si="6"/>
        <v>#REF!</v>
      </c>
      <c r="P47" s="45" t="e">
        <f>_xlfn.XLOOKUP(
    C47 &amp; "|" &amp; D47 &amp; "|" &amp; E47,#REF!,#REF!,
    "차열재 없음"
)</f>
        <v>#REF!</v>
      </c>
      <c r="Q47" s="45" t="e">
        <f>_xlfn.XLOOKUP(
    C47 &amp; "|" &amp; D47 &amp; "|" &amp; E47,#REF!,#REF!,
    "0"
)</f>
        <v>#REF!</v>
      </c>
      <c r="R47" s="45" t="e">
        <f>_xlfn.XLOOKUP(
    C47 &amp; "|" &amp; D47 &amp; "|" &amp; E47,#REF!,#REF!,
    "0"
)</f>
        <v>#REF!</v>
      </c>
      <c r="S47" s="45" t="e">
        <f t="shared" si="7"/>
        <v>#REF!</v>
      </c>
      <c r="T47" s="79" t="e">
        <f>_xlfn.XLOOKUP(
    C47 &amp; "|" &amp; D47 &amp; "|" &amp; E47,#REF!,#REF!,
    0
)</f>
        <v>#REF!</v>
      </c>
      <c r="U47" s="78" t="e">
        <f t="shared" si="8"/>
        <v>#REF!</v>
      </c>
      <c r="V47" s="67" t="e">
        <f>_xlfn.XLOOKUP(
    C47 &amp; "|" &amp; D47 &amp; "|" &amp; E47,#REF!,#REF!,
    0
)</f>
        <v>#REF!</v>
      </c>
      <c r="W47" s="67" t="e">
        <f t="shared" si="9"/>
        <v>#REF!</v>
      </c>
      <c r="X47" s="67" t="e">
        <f t="shared" si="10"/>
        <v>#REF!</v>
      </c>
      <c r="Y47" s="35" t="e">
        <f t="shared" si="11"/>
        <v>#REF!</v>
      </c>
    </row>
    <row r="48" spans="2:25" ht="26.5" customHeight="1">
      <c r="B48" s="34">
        <f t="shared" si="5"/>
        <v>36</v>
      </c>
      <c r="C48" s="40"/>
      <c r="D48" s="40"/>
      <c r="E48" s="41"/>
      <c r="F48" s="152"/>
      <c r="G48" s="37"/>
      <c r="H48" s="37"/>
      <c r="I48" s="132"/>
      <c r="J48" s="36"/>
      <c r="K48" s="45" t="e">
        <f>IF(V48=0,
    "판매가 없음",
    _xlfn.XLOOKUP(
        C48 &amp; "|" &amp; D48 &amp; "|" &amp; E48,#REF!,#REF!,
        "0"
    )
)</f>
        <v>#REF!</v>
      </c>
      <c r="L48" s="56" t="e">
        <f>_xlfn.XLOOKUP(
    C48 &amp; "|" &amp; D48 &amp; "|" &amp; E48,#REF!,#REF!,
   0
)</f>
        <v>#REF!</v>
      </c>
      <c r="M48" s="136" t="e">
        <f>_xlfn.XLOOKUP(
    C48 &amp; "|" &amp; D48 &amp; "|" &amp; E48,#REF!,#REF!,
   0
)</f>
        <v>#REF!</v>
      </c>
      <c r="N48" s="56" t="e">
        <f>_xlfn.XLOOKUP(
    C48 &amp; "|" &amp; D48 &amp; "|" &amp; E48,#REF!,#REF!,
   0
)</f>
        <v>#REF!</v>
      </c>
      <c r="O48" s="45" t="e">
        <f t="shared" si="6"/>
        <v>#REF!</v>
      </c>
      <c r="P48" s="45" t="e">
        <f>_xlfn.XLOOKUP(
    C48 &amp; "|" &amp; D48 &amp; "|" &amp; E48,#REF!,#REF!,
    "차열재 없음"
)</f>
        <v>#REF!</v>
      </c>
      <c r="Q48" s="45" t="e">
        <f>_xlfn.XLOOKUP(
    C48 &amp; "|" &amp; D48 &amp; "|" &amp; E48,#REF!,#REF!,
    "0"
)</f>
        <v>#REF!</v>
      </c>
      <c r="R48" s="45" t="e">
        <f>_xlfn.XLOOKUP(
    C48 &amp; "|" &amp; D48 &amp; "|" &amp; E48,#REF!,#REF!,
    "0"
)</f>
        <v>#REF!</v>
      </c>
      <c r="S48" s="45" t="e">
        <f t="shared" si="7"/>
        <v>#REF!</v>
      </c>
      <c r="T48" s="79" t="e">
        <f>_xlfn.XLOOKUP(
    C48 &amp; "|" &amp; D48 &amp; "|" &amp; E48,#REF!,#REF!,
    0
)</f>
        <v>#REF!</v>
      </c>
      <c r="U48" s="78" t="e">
        <f t="shared" si="8"/>
        <v>#REF!</v>
      </c>
      <c r="V48" s="67" t="e">
        <f>_xlfn.XLOOKUP(
    C48 &amp; "|" &amp; D48 &amp; "|" &amp; E48,#REF!,#REF!,
    0
)</f>
        <v>#REF!</v>
      </c>
      <c r="W48" s="67" t="e">
        <f t="shared" si="9"/>
        <v>#REF!</v>
      </c>
      <c r="X48" s="67" t="e">
        <f t="shared" si="10"/>
        <v>#REF!</v>
      </c>
      <c r="Y48" s="35" t="e">
        <f t="shared" si="11"/>
        <v>#REF!</v>
      </c>
    </row>
    <row r="49" spans="2:25" ht="26.5" customHeight="1">
      <c r="B49" s="34">
        <f t="shared" si="5"/>
        <v>37</v>
      </c>
      <c r="C49" s="40"/>
      <c r="D49" s="40"/>
      <c r="E49" s="41"/>
      <c r="F49" s="152"/>
      <c r="G49" s="37"/>
      <c r="H49" s="37"/>
      <c r="I49" s="132"/>
      <c r="J49" s="36"/>
      <c r="K49" s="45" t="e">
        <f>IF(V49=0,
    "판매가 없음",
    _xlfn.XLOOKUP(
        C49 &amp; "|" &amp; D49 &amp; "|" &amp; E49,#REF!,#REF!,
        "0"
    )
)</f>
        <v>#REF!</v>
      </c>
      <c r="L49" s="56" t="e">
        <f>_xlfn.XLOOKUP(
    C49 &amp; "|" &amp; D49 &amp; "|" &amp; E49,#REF!,#REF!,
   0
)</f>
        <v>#REF!</v>
      </c>
      <c r="M49" s="136" t="e">
        <f>_xlfn.XLOOKUP(
    C49 &amp; "|" &amp; D49 &amp; "|" &amp; E49,#REF!,#REF!,
   0
)</f>
        <v>#REF!</v>
      </c>
      <c r="N49" s="56" t="e">
        <f>_xlfn.XLOOKUP(
    C49 &amp; "|" &amp; D49 &amp; "|" &amp; E49,#REF!,#REF!,
   0
)</f>
        <v>#REF!</v>
      </c>
      <c r="O49" s="45" t="e">
        <f t="shared" si="6"/>
        <v>#REF!</v>
      </c>
      <c r="P49" s="45" t="e">
        <f>_xlfn.XLOOKUP(
    C49 &amp; "|" &amp; D49 &amp; "|" &amp; E49,#REF!,#REF!,
    "차열재 없음"
)</f>
        <v>#REF!</v>
      </c>
      <c r="Q49" s="45" t="e">
        <f>_xlfn.XLOOKUP(
    C49 &amp; "|" &amp; D49 &amp; "|" &amp; E49,#REF!,#REF!,
    "0"
)</f>
        <v>#REF!</v>
      </c>
      <c r="R49" s="45" t="e">
        <f>_xlfn.XLOOKUP(
    C49 &amp; "|" &amp; D49 &amp; "|" &amp; E49,#REF!,#REF!,
    "0"
)</f>
        <v>#REF!</v>
      </c>
      <c r="S49" s="45" t="e">
        <f t="shared" si="7"/>
        <v>#REF!</v>
      </c>
      <c r="T49" s="79" t="e">
        <f>_xlfn.XLOOKUP(
    C49 &amp; "|" &amp; D49 &amp; "|" &amp; E49,#REF!,#REF!,
    0
)</f>
        <v>#REF!</v>
      </c>
      <c r="U49" s="78" t="e">
        <f t="shared" si="8"/>
        <v>#REF!</v>
      </c>
      <c r="V49" s="67" t="e">
        <f>_xlfn.XLOOKUP(
    C49 &amp; "|" &amp; D49 &amp; "|" &amp; E49,#REF!,#REF!,
    0
)</f>
        <v>#REF!</v>
      </c>
      <c r="W49" s="67" t="e">
        <f t="shared" si="9"/>
        <v>#REF!</v>
      </c>
      <c r="X49" s="67" t="e">
        <f t="shared" si="10"/>
        <v>#REF!</v>
      </c>
      <c r="Y49" s="35" t="e">
        <f t="shared" si="11"/>
        <v>#REF!</v>
      </c>
    </row>
    <row r="50" spans="2:25" ht="26.5" customHeight="1">
      <c r="B50" s="34">
        <f t="shared" si="5"/>
        <v>38</v>
      </c>
      <c r="C50" s="40"/>
      <c r="D50" s="40"/>
      <c r="E50" s="41"/>
      <c r="F50" s="152"/>
      <c r="G50" s="37"/>
      <c r="H50" s="37"/>
      <c r="I50" s="132"/>
      <c r="J50" s="36"/>
      <c r="K50" s="45" t="e">
        <f>IF(V50=0,
    "판매가 없음",
    _xlfn.XLOOKUP(
        C50 &amp; "|" &amp; D50 &amp; "|" &amp; E50,#REF!,#REF!,
        "0"
    )
)</f>
        <v>#REF!</v>
      </c>
      <c r="L50" s="56" t="e">
        <f>_xlfn.XLOOKUP(
    C50 &amp; "|" &amp; D50 &amp; "|" &amp; E50,#REF!,#REF!,
   0
)</f>
        <v>#REF!</v>
      </c>
      <c r="M50" s="136" t="e">
        <f>_xlfn.XLOOKUP(
    C50 &amp; "|" &amp; D50 &amp; "|" &amp; E50,#REF!,#REF!,
   0
)</f>
        <v>#REF!</v>
      </c>
      <c r="N50" s="56" t="e">
        <f>_xlfn.XLOOKUP(
    C50 &amp; "|" &amp; D50 &amp; "|" &amp; E50,#REF!,#REF!,
   0
)</f>
        <v>#REF!</v>
      </c>
      <c r="O50" s="45" t="e">
        <f t="shared" si="6"/>
        <v>#REF!</v>
      </c>
      <c r="P50" s="45" t="e">
        <f>_xlfn.XLOOKUP(
    C50 &amp; "|" &amp; D50 &amp; "|" &amp; E50,#REF!,#REF!,
    "차열재 없음"
)</f>
        <v>#REF!</v>
      </c>
      <c r="Q50" s="45" t="e">
        <f>_xlfn.XLOOKUP(
    C50 &amp; "|" &amp; D50 &amp; "|" &amp; E50,#REF!,#REF!,
    "0"
)</f>
        <v>#REF!</v>
      </c>
      <c r="R50" s="45" t="e">
        <f>_xlfn.XLOOKUP(
    C50 &amp; "|" &amp; D50 &amp; "|" &amp; E50,#REF!,#REF!,
    "0"
)</f>
        <v>#REF!</v>
      </c>
      <c r="S50" s="45" t="e">
        <f t="shared" si="7"/>
        <v>#REF!</v>
      </c>
      <c r="T50" s="79" t="e">
        <f>_xlfn.XLOOKUP(
    C50 &amp; "|" &amp; D50 &amp; "|" &amp; E50,#REF!,#REF!,
    0
)</f>
        <v>#REF!</v>
      </c>
      <c r="U50" s="78" t="e">
        <f t="shared" si="8"/>
        <v>#REF!</v>
      </c>
      <c r="V50" s="67" t="e">
        <f>_xlfn.XLOOKUP(
    C50 &amp; "|" &amp; D50 &amp; "|" &amp; E50,#REF!,#REF!,
    0
)</f>
        <v>#REF!</v>
      </c>
      <c r="W50" s="67" t="e">
        <f t="shared" si="9"/>
        <v>#REF!</v>
      </c>
      <c r="X50" s="67" t="e">
        <f t="shared" si="10"/>
        <v>#REF!</v>
      </c>
      <c r="Y50" s="35" t="e">
        <f t="shared" si="11"/>
        <v>#REF!</v>
      </c>
    </row>
    <row r="51" spans="2:25" ht="26.5" customHeight="1">
      <c r="B51" s="34">
        <f t="shared" si="5"/>
        <v>39</v>
      </c>
      <c r="C51" s="40"/>
      <c r="D51" s="40"/>
      <c r="E51" s="41"/>
      <c r="F51" s="152"/>
      <c r="G51" s="37"/>
      <c r="H51" s="37"/>
      <c r="I51" s="132"/>
      <c r="J51" s="36"/>
      <c r="K51" s="45" t="e">
        <f>IF(V51=0,
    "판매가 없음",
    _xlfn.XLOOKUP(
        C51 &amp; "|" &amp; D51 &amp; "|" &amp; E51,#REF!,#REF!,
        "0"
    )
)</f>
        <v>#REF!</v>
      </c>
      <c r="L51" s="56" t="e">
        <f>_xlfn.XLOOKUP(
    C51 &amp; "|" &amp; D51 &amp; "|" &amp; E51,#REF!,#REF!,
   0
)</f>
        <v>#REF!</v>
      </c>
      <c r="M51" s="136" t="e">
        <f>_xlfn.XLOOKUP(
    C51 &amp; "|" &amp; D51 &amp; "|" &amp; E51,#REF!,#REF!,
   0
)</f>
        <v>#REF!</v>
      </c>
      <c r="N51" s="56" t="e">
        <f>_xlfn.XLOOKUP(
    C51 &amp; "|" &amp; D51 &amp; "|" &amp; E51,#REF!,#REF!,
   0
)</f>
        <v>#REF!</v>
      </c>
      <c r="O51" s="45" t="e">
        <f t="shared" si="6"/>
        <v>#REF!</v>
      </c>
      <c r="P51" s="45" t="e">
        <f>_xlfn.XLOOKUP(
    C51 &amp; "|" &amp; D51 &amp; "|" &amp; E51,#REF!,#REF!,
    "차열재 없음"
)</f>
        <v>#REF!</v>
      </c>
      <c r="Q51" s="45" t="e">
        <f>_xlfn.XLOOKUP(
    C51 &amp; "|" &amp; D51 &amp; "|" &amp; E51,#REF!,#REF!,
    "0"
)</f>
        <v>#REF!</v>
      </c>
      <c r="R51" s="45" t="e">
        <f>_xlfn.XLOOKUP(
    C51 &amp; "|" &amp; D51 &amp; "|" &amp; E51,#REF!,#REF!,
    "0"
)</f>
        <v>#REF!</v>
      </c>
      <c r="S51" s="45" t="e">
        <f t="shared" si="7"/>
        <v>#REF!</v>
      </c>
      <c r="T51" s="79" t="e">
        <f>_xlfn.XLOOKUP(
    C51 &amp; "|" &amp; D51 &amp; "|" &amp; E51,#REF!,#REF!,
    0
)</f>
        <v>#REF!</v>
      </c>
      <c r="U51" s="78" t="e">
        <f t="shared" si="8"/>
        <v>#REF!</v>
      </c>
      <c r="V51" s="67" t="e">
        <f>_xlfn.XLOOKUP(
    C51 &amp; "|" &amp; D51 &amp; "|" &amp; E51,#REF!,#REF!,
    0
)</f>
        <v>#REF!</v>
      </c>
      <c r="W51" s="67" t="e">
        <f t="shared" si="9"/>
        <v>#REF!</v>
      </c>
      <c r="X51" s="67" t="e">
        <f t="shared" si="10"/>
        <v>#REF!</v>
      </c>
      <c r="Y51" s="35" t="e">
        <f t="shared" si="11"/>
        <v>#REF!</v>
      </c>
    </row>
    <row r="52" spans="2:25" ht="26.5" customHeight="1">
      <c r="B52" s="34">
        <f t="shared" si="5"/>
        <v>40</v>
      </c>
      <c r="C52" s="40"/>
      <c r="D52" s="40"/>
      <c r="E52" s="41"/>
      <c r="F52" s="152"/>
      <c r="G52" s="37"/>
      <c r="H52" s="37"/>
      <c r="I52" s="132"/>
      <c r="J52" s="36"/>
      <c r="K52" s="45" t="e">
        <f>IF(V52=0,
    "판매가 없음",
    _xlfn.XLOOKUP(
        C52 &amp; "|" &amp; D52 &amp; "|" &amp; E52,#REF!,#REF!,
        "0"
    )
)</f>
        <v>#REF!</v>
      </c>
      <c r="L52" s="56" t="e">
        <f>_xlfn.XLOOKUP(
    C52 &amp; "|" &amp; D52 &amp; "|" &amp; E52,#REF!,#REF!,
   0
)</f>
        <v>#REF!</v>
      </c>
      <c r="M52" s="136" t="e">
        <f>_xlfn.XLOOKUP(
    C52 &amp; "|" &amp; D52 &amp; "|" &amp; E52,#REF!,#REF!,
   0
)</f>
        <v>#REF!</v>
      </c>
      <c r="N52" s="56" t="e">
        <f>_xlfn.XLOOKUP(
    C52 &amp; "|" &amp; D52 &amp; "|" &amp; E52,#REF!,#REF!,
   0
)</f>
        <v>#REF!</v>
      </c>
      <c r="O52" s="45" t="e">
        <f t="shared" si="6"/>
        <v>#REF!</v>
      </c>
      <c r="P52" s="45" t="e">
        <f>_xlfn.XLOOKUP(
    C52 &amp; "|" &amp; D52 &amp; "|" &amp; E52,#REF!,#REF!,
    "차열재 없음"
)</f>
        <v>#REF!</v>
      </c>
      <c r="Q52" s="45" t="e">
        <f>_xlfn.XLOOKUP(
    C52 &amp; "|" &amp; D52 &amp; "|" &amp; E52,#REF!,#REF!,
    "0"
)</f>
        <v>#REF!</v>
      </c>
      <c r="R52" s="45" t="e">
        <f>_xlfn.XLOOKUP(
    C52 &amp; "|" &amp; D52 &amp; "|" &amp; E52,#REF!,#REF!,
    "0"
)</f>
        <v>#REF!</v>
      </c>
      <c r="S52" s="45" t="e">
        <f t="shared" si="7"/>
        <v>#REF!</v>
      </c>
      <c r="T52" s="79" t="e">
        <f>_xlfn.XLOOKUP(
    C52 &amp; "|" &amp; D52 &amp; "|" &amp; E52,#REF!,#REF!,
    0
)</f>
        <v>#REF!</v>
      </c>
      <c r="U52" s="78" t="e">
        <f t="shared" si="8"/>
        <v>#REF!</v>
      </c>
      <c r="V52" s="67" t="e">
        <f>_xlfn.XLOOKUP(
    C52 &amp; "|" &amp; D52 &amp; "|" &amp; E52,#REF!,#REF!,
    0
)</f>
        <v>#REF!</v>
      </c>
      <c r="W52" s="67" t="e">
        <f t="shared" si="9"/>
        <v>#REF!</v>
      </c>
      <c r="X52" s="67" t="e">
        <f t="shared" si="10"/>
        <v>#REF!</v>
      </c>
      <c r="Y52" s="35" t="e">
        <f t="shared" si="11"/>
        <v>#REF!</v>
      </c>
    </row>
    <row r="53" spans="2:25" ht="26.5" customHeight="1">
      <c r="B53" s="34">
        <f t="shared" si="5"/>
        <v>41</v>
      </c>
      <c r="C53" s="40"/>
      <c r="D53" s="40"/>
      <c r="E53" s="41"/>
      <c r="F53" s="152"/>
      <c r="G53" s="37"/>
      <c r="H53" s="37"/>
      <c r="I53" s="132"/>
      <c r="J53" s="36"/>
      <c r="K53" s="45" t="e">
        <f>IF(V53=0,
    "판매가 없음",
    _xlfn.XLOOKUP(
        C53 &amp; "|" &amp; D53 &amp; "|" &amp; E53,#REF!,#REF!,
        "0"
    )
)</f>
        <v>#REF!</v>
      </c>
      <c r="L53" s="56" t="e">
        <f>_xlfn.XLOOKUP(
    C53 &amp; "|" &amp; D53 &amp; "|" &amp; E53,#REF!,#REF!,
   0
)</f>
        <v>#REF!</v>
      </c>
      <c r="M53" s="136" t="e">
        <f>_xlfn.XLOOKUP(
    C53 &amp; "|" &amp; D53 &amp; "|" &amp; E53,#REF!,#REF!,
   0
)</f>
        <v>#REF!</v>
      </c>
      <c r="N53" s="56" t="e">
        <f>_xlfn.XLOOKUP(
    C53 &amp; "|" &amp; D53 &amp; "|" &amp; E53,#REF!,#REF!,
   0
)</f>
        <v>#REF!</v>
      </c>
      <c r="O53" s="45" t="e">
        <f t="shared" si="6"/>
        <v>#REF!</v>
      </c>
      <c r="P53" s="45" t="e">
        <f>_xlfn.XLOOKUP(
    C53 &amp; "|" &amp; D53 &amp; "|" &amp; E53,#REF!,#REF!,
    "차열재 없음"
)</f>
        <v>#REF!</v>
      </c>
      <c r="Q53" s="45" t="e">
        <f>_xlfn.XLOOKUP(
    C53 &amp; "|" &amp; D53 &amp; "|" &amp; E53,#REF!,#REF!,
    "0"
)</f>
        <v>#REF!</v>
      </c>
      <c r="R53" s="45" t="e">
        <f>_xlfn.XLOOKUP(
    C53 &amp; "|" &amp; D53 &amp; "|" &amp; E53,#REF!,#REF!,
    "0"
)</f>
        <v>#REF!</v>
      </c>
      <c r="S53" s="45" t="e">
        <f t="shared" si="7"/>
        <v>#REF!</v>
      </c>
      <c r="T53" s="79" t="e">
        <f>_xlfn.XLOOKUP(
    C53 &amp; "|" &amp; D53 &amp; "|" &amp; E53,#REF!,#REF!,
    0
)</f>
        <v>#REF!</v>
      </c>
      <c r="U53" s="78" t="e">
        <f t="shared" si="8"/>
        <v>#REF!</v>
      </c>
      <c r="V53" s="67" t="e">
        <f>_xlfn.XLOOKUP(
    C53 &amp; "|" &amp; D53 &amp; "|" &amp; E53,#REF!,#REF!,
    0
)</f>
        <v>#REF!</v>
      </c>
      <c r="W53" s="67" t="e">
        <f t="shared" si="9"/>
        <v>#REF!</v>
      </c>
      <c r="X53" s="67" t="e">
        <f t="shared" si="10"/>
        <v>#REF!</v>
      </c>
      <c r="Y53" s="35" t="e">
        <f t="shared" si="11"/>
        <v>#REF!</v>
      </c>
    </row>
    <row r="54" spans="2:25" ht="26.5" customHeight="1">
      <c r="B54" s="34">
        <f t="shared" si="5"/>
        <v>42</v>
      </c>
      <c r="C54" s="40"/>
      <c r="D54" s="40"/>
      <c r="E54" s="41"/>
      <c r="F54" s="152"/>
      <c r="G54" s="37"/>
      <c r="H54" s="37"/>
      <c r="I54" s="132"/>
      <c r="J54" s="36"/>
      <c r="K54" s="45" t="e">
        <f>IF(V54=0,
    "판매가 없음",
    _xlfn.XLOOKUP(
        C54 &amp; "|" &amp; D54 &amp; "|" &amp; E54,#REF!,#REF!,
        "0"
    )
)</f>
        <v>#REF!</v>
      </c>
      <c r="L54" s="56" t="e">
        <f>_xlfn.XLOOKUP(
    C54 &amp; "|" &amp; D54 &amp; "|" &amp; E54,#REF!,#REF!,
   0
)</f>
        <v>#REF!</v>
      </c>
      <c r="M54" s="136" t="e">
        <f>_xlfn.XLOOKUP(
    C54 &amp; "|" &amp; D54 &amp; "|" &amp; E54,#REF!,#REF!,
   0
)</f>
        <v>#REF!</v>
      </c>
      <c r="N54" s="56" t="e">
        <f>_xlfn.XLOOKUP(
    C54 &amp; "|" &amp; D54 &amp; "|" &amp; E54,#REF!,#REF!,
   0
)</f>
        <v>#REF!</v>
      </c>
      <c r="O54" s="45" t="e">
        <f t="shared" si="6"/>
        <v>#REF!</v>
      </c>
      <c r="P54" s="45" t="e">
        <f>_xlfn.XLOOKUP(
    C54 &amp; "|" &amp; D54 &amp; "|" &amp; E54,#REF!,#REF!,
    "차열재 없음"
)</f>
        <v>#REF!</v>
      </c>
      <c r="Q54" s="45" t="e">
        <f>_xlfn.XLOOKUP(
    C54 &amp; "|" &amp; D54 &amp; "|" &amp; E54,#REF!,#REF!,
    "0"
)</f>
        <v>#REF!</v>
      </c>
      <c r="R54" s="45" t="e">
        <f>_xlfn.XLOOKUP(
    C54 &amp; "|" &amp; D54 &amp; "|" &amp; E54,#REF!,#REF!,
    "0"
)</f>
        <v>#REF!</v>
      </c>
      <c r="S54" s="45" t="e">
        <f t="shared" si="7"/>
        <v>#REF!</v>
      </c>
      <c r="T54" s="79" t="e">
        <f>_xlfn.XLOOKUP(
    C54 &amp; "|" &amp; D54 &amp; "|" &amp; E54,#REF!,#REF!,
    0
)</f>
        <v>#REF!</v>
      </c>
      <c r="U54" s="78" t="e">
        <f t="shared" si="8"/>
        <v>#REF!</v>
      </c>
      <c r="V54" s="67" t="e">
        <f>_xlfn.XLOOKUP(
    C54 &amp; "|" &amp; D54 &amp; "|" &amp; E54,#REF!,#REF!,
    0
)</f>
        <v>#REF!</v>
      </c>
      <c r="W54" s="67" t="e">
        <f t="shared" si="9"/>
        <v>#REF!</v>
      </c>
      <c r="X54" s="67" t="e">
        <f t="shared" si="10"/>
        <v>#REF!</v>
      </c>
      <c r="Y54" s="35" t="e">
        <f t="shared" si="11"/>
        <v>#REF!</v>
      </c>
    </row>
    <row r="55" spans="2:25" ht="26.5" customHeight="1">
      <c r="B55" s="34">
        <f t="shared" si="5"/>
        <v>43</v>
      </c>
      <c r="C55" s="40"/>
      <c r="D55" s="40"/>
      <c r="E55" s="41"/>
      <c r="F55" s="152"/>
      <c r="G55" s="37"/>
      <c r="H55" s="37"/>
      <c r="I55" s="132"/>
      <c r="J55" s="36"/>
      <c r="K55" s="45" t="e">
        <f>IF(V55=0,
    "판매가 없음",
    _xlfn.XLOOKUP(
        C55 &amp; "|" &amp; D55 &amp; "|" &amp; E55,#REF!,#REF!,
        "0"
    )
)</f>
        <v>#REF!</v>
      </c>
      <c r="L55" s="56" t="e">
        <f>_xlfn.XLOOKUP(
    C55 &amp; "|" &amp; D55 &amp; "|" &amp; E55,#REF!,#REF!,
   0
)</f>
        <v>#REF!</v>
      </c>
      <c r="M55" s="136" t="e">
        <f>_xlfn.XLOOKUP(
    C55 &amp; "|" &amp; D55 &amp; "|" &amp; E55,#REF!,#REF!,
   0
)</f>
        <v>#REF!</v>
      </c>
      <c r="N55" s="56" t="e">
        <f>_xlfn.XLOOKUP(
    C55 &amp; "|" &amp; D55 &amp; "|" &amp; E55,#REF!,#REF!,
   0
)</f>
        <v>#REF!</v>
      </c>
      <c r="O55" s="45" t="e">
        <f t="shared" si="6"/>
        <v>#REF!</v>
      </c>
      <c r="P55" s="45" t="e">
        <f>_xlfn.XLOOKUP(
    C55 &amp; "|" &amp; D55 &amp; "|" &amp; E55,#REF!,#REF!,
    "차열재 없음"
)</f>
        <v>#REF!</v>
      </c>
      <c r="Q55" s="45" t="e">
        <f>_xlfn.XLOOKUP(
    C55 &amp; "|" &amp; D55 &amp; "|" &amp; E55,#REF!,#REF!,
    "0"
)</f>
        <v>#REF!</v>
      </c>
      <c r="R55" s="45" t="e">
        <f>_xlfn.XLOOKUP(
    C55 &amp; "|" &amp; D55 &amp; "|" &amp; E55,#REF!,#REF!,
    "0"
)</f>
        <v>#REF!</v>
      </c>
      <c r="S55" s="45" t="e">
        <f t="shared" si="7"/>
        <v>#REF!</v>
      </c>
      <c r="T55" s="79" t="e">
        <f>_xlfn.XLOOKUP(
    C55 &amp; "|" &amp; D55 &amp; "|" &amp; E55,#REF!,#REF!,
    0
)</f>
        <v>#REF!</v>
      </c>
      <c r="U55" s="78" t="e">
        <f t="shared" si="8"/>
        <v>#REF!</v>
      </c>
      <c r="V55" s="67" t="e">
        <f>_xlfn.XLOOKUP(
    C55 &amp; "|" &amp; D55 &amp; "|" &amp; E55,#REF!,#REF!,
    0
)</f>
        <v>#REF!</v>
      </c>
      <c r="W55" s="67" t="e">
        <f t="shared" si="9"/>
        <v>#REF!</v>
      </c>
      <c r="X55" s="67" t="e">
        <f t="shared" si="10"/>
        <v>#REF!</v>
      </c>
      <c r="Y55" s="35" t="e">
        <f t="shared" si="11"/>
        <v>#REF!</v>
      </c>
    </row>
    <row r="56" spans="2:25" ht="26.5" customHeight="1">
      <c r="B56" s="34">
        <f t="shared" si="5"/>
        <v>44</v>
      </c>
      <c r="C56" s="40"/>
      <c r="D56" s="40"/>
      <c r="E56" s="41"/>
      <c r="F56" s="152"/>
      <c r="G56" s="37"/>
      <c r="H56" s="37"/>
      <c r="I56" s="132"/>
      <c r="J56" s="36"/>
      <c r="K56" s="45" t="e">
        <f>IF(V56=0,
    "판매가 없음",
    _xlfn.XLOOKUP(
        C56 &amp; "|" &amp; D56 &amp; "|" &amp; E56,#REF!,#REF!,
        "0"
    )
)</f>
        <v>#REF!</v>
      </c>
      <c r="L56" s="56" t="e">
        <f>_xlfn.XLOOKUP(
    C56 &amp; "|" &amp; D56 &amp; "|" &amp; E56,#REF!,#REF!,
   0
)</f>
        <v>#REF!</v>
      </c>
      <c r="M56" s="136" t="e">
        <f>_xlfn.XLOOKUP(
    C56 &amp; "|" &amp; D56 &amp; "|" &amp; E56,#REF!,#REF!,
   0
)</f>
        <v>#REF!</v>
      </c>
      <c r="N56" s="56" t="e">
        <f>_xlfn.XLOOKUP(
    C56 &amp; "|" &amp; D56 &amp; "|" &amp; E56,#REF!,#REF!,
   0
)</f>
        <v>#REF!</v>
      </c>
      <c r="O56" s="45" t="e">
        <f t="shared" si="6"/>
        <v>#REF!</v>
      </c>
      <c r="P56" s="45" t="e">
        <f>_xlfn.XLOOKUP(
    C56 &amp; "|" &amp; D56 &amp; "|" &amp; E56,#REF!,#REF!,
    "차열재 없음"
)</f>
        <v>#REF!</v>
      </c>
      <c r="Q56" s="45" t="e">
        <f>_xlfn.XLOOKUP(
    C56 &amp; "|" &amp; D56 &amp; "|" &amp; E56,#REF!,#REF!,
    "0"
)</f>
        <v>#REF!</v>
      </c>
      <c r="R56" s="45" t="e">
        <f>_xlfn.XLOOKUP(
    C56 &amp; "|" &amp; D56 &amp; "|" &amp; E56,#REF!,#REF!,
    "0"
)</f>
        <v>#REF!</v>
      </c>
      <c r="S56" s="45" t="e">
        <f t="shared" si="7"/>
        <v>#REF!</v>
      </c>
      <c r="T56" s="79" t="e">
        <f>_xlfn.XLOOKUP(
    C56 &amp; "|" &amp; D56 &amp; "|" &amp; E56,#REF!,#REF!,
    0
)</f>
        <v>#REF!</v>
      </c>
      <c r="U56" s="78" t="e">
        <f t="shared" si="8"/>
        <v>#REF!</v>
      </c>
      <c r="V56" s="67" t="e">
        <f>_xlfn.XLOOKUP(
    C56 &amp; "|" &amp; D56 &amp; "|" &amp; E56,#REF!,#REF!,
    0
)</f>
        <v>#REF!</v>
      </c>
      <c r="W56" s="67" t="e">
        <f t="shared" si="9"/>
        <v>#REF!</v>
      </c>
      <c r="X56" s="67" t="e">
        <f t="shared" si="10"/>
        <v>#REF!</v>
      </c>
      <c r="Y56" s="35" t="e">
        <f t="shared" si="11"/>
        <v>#REF!</v>
      </c>
    </row>
    <row r="57" spans="2:25" ht="26.5" customHeight="1">
      <c r="B57" s="34">
        <f t="shared" si="5"/>
        <v>45</v>
      </c>
      <c r="C57" s="40"/>
      <c r="D57" s="40"/>
      <c r="E57" s="41"/>
      <c r="F57" s="152"/>
      <c r="G57" s="37"/>
      <c r="H57" s="37"/>
      <c r="I57" s="132"/>
      <c r="J57" s="36"/>
      <c r="K57" s="45" t="e">
        <f>IF(V57=0,
    "판매가 없음",
    _xlfn.XLOOKUP(
        C57 &amp; "|" &amp; D57 &amp; "|" &amp; E57,#REF!,#REF!,
        "0"
    )
)</f>
        <v>#REF!</v>
      </c>
      <c r="L57" s="56" t="e">
        <f>_xlfn.XLOOKUP(
    C57 &amp; "|" &amp; D57 &amp; "|" &amp; E57,#REF!,#REF!,
   0
)</f>
        <v>#REF!</v>
      </c>
      <c r="M57" s="136" t="e">
        <f>_xlfn.XLOOKUP(
    C57 &amp; "|" &amp; D57 &amp; "|" &amp; E57,#REF!,#REF!,
   0
)</f>
        <v>#REF!</v>
      </c>
      <c r="N57" s="56" t="e">
        <f>_xlfn.XLOOKUP(
    C57 &amp; "|" &amp; D57 &amp; "|" &amp; E57,#REF!,#REF!,
   0
)</f>
        <v>#REF!</v>
      </c>
      <c r="O57" s="45" t="e">
        <f t="shared" si="6"/>
        <v>#REF!</v>
      </c>
      <c r="P57" s="45" t="e">
        <f>_xlfn.XLOOKUP(
    C57 &amp; "|" &amp; D57 &amp; "|" &amp; E57,#REF!,#REF!,
    "차열재 없음"
)</f>
        <v>#REF!</v>
      </c>
      <c r="Q57" s="45" t="e">
        <f>_xlfn.XLOOKUP(
    C57 &amp; "|" &amp; D57 &amp; "|" &amp; E57,#REF!,#REF!,
    "0"
)</f>
        <v>#REF!</v>
      </c>
      <c r="R57" s="45" t="e">
        <f>_xlfn.XLOOKUP(
    C57 &amp; "|" &amp; D57 &amp; "|" &amp; E57,#REF!,#REF!,
    "0"
)</f>
        <v>#REF!</v>
      </c>
      <c r="S57" s="45" t="e">
        <f t="shared" si="7"/>
        <v>#REF!</v>
      </c>
      <c r="T57" s="79" t="e">
        <f>_xlfn.XLOOKUP(
    C57 &amp; "|" &amp; D57 &amp; "|" &amp; E57,#REF!,#REF!,
    0
)</f>
        <v>#REF!</v>
      </c>
      <c r="U57" s="78" t="e">
        <f t="shared" si="8"/>
        <v>#REF!</v>
      </c>
      <c r="V57" s="67" t="e">
        <f>_xlfn.XLOOKUP(
    C57 &amp; "|" &amp; D57 &amp; "|" &amp; E57,#REF!,#REF!,
    0
)</f>
        <v>#REF!</v>
      </c>
      <c r="W57" s="67" t="e">
        <f t="shared" si="9"/>
        <v>#REF!</v>
      </c>
      <c r="X57" s="67" t="e">
        <f t="shared" si="10"/>
        <v>#REF!</v>
      </c>
      <c r="Y57" s="35" t="e">
        <f t="shared" si="11"/>
        <v>#REF!</v>
      </c>
    </row>
    <row r="58" spans="2:25" ht="26.5" customHeight="1">
      <c r="B58" s="34">
        <f t="shared" si="5"/>
        <v>46</v>
      </c>
      <c r="C58" s="40"/>
      <c r="D58" s="40"/>
      <c r="E58" s="41"/>
      <c r="F58" s="152"/>
      <c r="G58" s="37"/>
      <c r="H58" s="37"/>
      <c r="I58" s="132"/>
      <c r="J58" s="36"/>
      <c r="K58" s="45" t="e">
        <f>IF(V58=0,
    "판매가 없음",
    _xlfn.XLOOKUP(
        C58 &amp; "|" &amp; D58 &amp; "|" &amp; E58,#REF!,#REF!,
        "0"
    )
)</f>
        <v>#REF!</v>
      </c>
      <c r="L58" s="56" t="e">
        <f>_xlfn.XLOOKUP(
    C58 &amp; "|" &amp; D58 &amp; "|" &amp; E58,#REF!,#REF!,
   0
)</f>
        <v>#REF!</v>
      </c>
      <c r="M58" s="136" t="e">
        <f>_xlfn.XLOOKUP(
    C58 &amp; "|" &amp; D58 &amp; "|" &amp; E58,#REF!,#REF!,
   0
)</f>
        <v>#REF!</v>
      </c>
      <c r="N58" s="56" t="e">
        <f>_xlfn.XLOOKUP(
    C58 &amp; "|" &amp; D58 &amp; "|" &amp; E58,#REF!,#REF!,
   0
)</f>
        <v>#REF!</v>
      </c>
      <c r="O58" s="45" t="e">
        <f t="shared" si="6"/>
        <v>#REF!</v>
      </c>
      <c r="P58" s="45" t="e">
        <f>_xlfn.XLOOKUP(
    C58 &amp; "|" &amp; D58 &amp; "|" &amp; E58,#REF!,#REF!,
    "차열재 없음"
)</f>
        <v>#REF!</v>
      </c>
      <c r="Q58" s="45" t="e">
        <f>_xlfn.XLOOKUP(
    C58 &amp; "|" &amp; D58 &amp; "|" &amp; E58,#REF!,#REF!,
    "0"
)</f>
        <v>#REF!</v>
      </c>
      <c r="R58" s="45" t="e">
        <f>_xlfn.XLOOKUP(
    C58 &amp; "|" &amp; D58 &amp; "|" &amp; E58,#REF!,#REF!,
    "0"
)</f>
        <v>#REF!</v>
      </c>
      <c r="S58" s="45" t="e">
        <f t="shared" si="7"/>
        <v>#REF!</v>
      </c>
      <c r="T58" s="79" t="e">
        <f>_xlfn.XLOOKUP(
    C58 &amp; "|" &amp; D58 &amp; "|" &amp; E58,#REF!,#REF!,
    0
)</f>
        <v>#REF!</v>
      </c>
      <c r="U58" s="78" t="e">
        <f t="shared" si="8"/>
        <v>#REF!</v>
      </c>
      <c r="V58" s="67" t="e">
        <f>_xlfn.XLOOKUP(
    C58 &amp; "|" &amp; D58 &amp; "|" &amp; E58,#REF!,#REF!,
    0
)</f>
        <v>#REF!</v>
      </c>
      <c r="W58" s="67" t="e">
        <f t="shared" si="9"/>
        <v>#REF!</v>
      </c>
      <c r="X58" s="67" t="e">
        <f t="shared" si="10"/>
        <v>#REF!</v>
      </c>
      <c r="Y58" s="35" t="e">
        <f t="shared" si="11"/>
        <v>#REF!</v>
      </c>
    </row>
    <row r="59" spans="2:25" ht="26.5" customHeight="1">
      <c r="B59" s="34">
        <f t="shared" si="5"/>
        <v>47</v>
      </c>
      <c r="C59" s="40"/>
      <c r="D59" s="40"/>
      <c r="E59" s="41"/>
      <c r="F59" s="152"/>
      <c r="G59" s="37"/>
      <c r="H59" s="37"/>
      <c r="I59" s="132"/>
      <c r="J59" s="36"/>
      <c r="K59" s="45" t="e">
        <f>IF(V59=0,
    "판매가 없음",
    _xlfn.XLOOKUP(
        C59 &amp; "|" &amp; D59 &amp; "|" &amp; E59,#REF!,#REF!,
        "0"
    )
)</f>
        <v>#REF!</v>
      </c>
      <c r="L59" s="56" t="e">
        <f>_xlfn.XLOOKUP(
    C59 &amp; "|" &amp; D59 &amp; "|" &amp; E59,#REF!,#REF!,
   0
)</f>
        <v>#REF!</v>
      </c>
      <c r="M59" s="136" t="e">
        <f>_xlfn.XLOOKUP(
    C59 &amp; "|" &amp; D59 &amp; "|" &amp; E59,#REF!,#REF!,
   0
)</f>
        <v>#REF!</v>
      </c>
      <c r="N59" s="56" t="e">
        <f>_xlfn.XLOOKUP(
    C59 &amp; "|" &amp; D59 &amp; "|" &amp; E59,#REF!,#REF!,
   0
)</f>
        <v>#REF!</v>
      </c>
      <c r="O59" s="45" t="e">
        <f t="shared" si="6"/>
        <v>#REF!</v>
      </c>
      <c r="P59" s="45" t="e">
        <f>_xlfn.XLOOKUP(
    C59 &amp; "|" &amp; D59 &amp; "|" &amp; E59,#REF!,#REF!,
    "차열재 없음"
)</f>
        <v>#REF!</v>
      </c>
      <c r="Q59" s="45" t="e">
        <f>_xlfn.XLOOKUP(
    C59 &amp; "|" &amp; D59 &amp; "|" &amp; E59,#REF!,#REF!,
    "0"
)</f>
        <v>#REF!</v>
      </c>
      <c r="R59" s="45" t="e">
        <f>_xlfn.XLOOKUP(
    C59 &amp; "|" &amp; D59 &amp; "|" &amp; E59,#REF!,#REF!,
    "0"
)</f>
        <v>#REF!</v>
      </c>
      <c r="S59" s="45" t="e">
        <f t="shared" si="7"/>
        <v>#REF!</v>
      </c>
      <c r="T59" s="79" t="e">
        <f>_xlfn.XLOOKUP(
    C59 &amp; "|" &amp; D59 &amp; "|" &amp; E59,#REF!,#REF!,
    0
)</f>
        <v>#REF!</v>
      </c>
      <c r="U59" s="78" t="e">
        <f t="shared" si="8"/>
        <v>#REF!</v>
      </c>
      <c r="V59" s="67" t="e">
        <f>_xlfn.XLOOKUP(
    C59 &amp; "|" &amp; D59 &amp; "|" &amp; E59,#REF!,#REF!,
    0
)</f>
        <v>#REF!</v>
      </c>
      <c r="W59" s="67" t="e">
        <f t="shared" si="9"/>
        <v>#REF!</v>
      </c>
      <c r="X59" s="67" t="e">
        <f t="shared" si="10"/>
        <v>#REF!</v>
      </c>
      <c r="Y59" s="35" t="e">
        <f t="shared" si="11"/>
        <v>#REF!</v>
      </c>
    </row>
    <row r="60" spans="2:25" ht="26.5" customHeight="1">
      <c r="B60" s="34">
        <f t="shared" si="5"/>
        <v>48</v>
      </c>
      <c r="C60" s="40"/>
      <c r="D60" s="40"/>
      <c r="E60" s="41"/>
      <c r="F60" s="152"/>
      <c r="G60" s="37"/>
      <c r="H60" s="37"/>
      <c r="I60" s="132"/>
      <c r="J60" s="36"/>
      <c r="K60" s="45" t="e">
        <f>IF(V60=0,
    "판매가 없음",
    _xlfn.XLOOKUP(
        C60 &amp; "|" &amp; D60 &amp; "|" &amp; E60,#REF!,#REF!,
        "0"
    )
)</f>
        <v>#REF!</v>
      </c>
      <c r="L60" s="56" t="e">
        <f>_xlfn.XLOOKUP(
    C60 &amp; "|" &amp; D60 &amp; "|" &amp; E60,#REF!,#REF!,
   0
)</f>
        <v>#REF!</v>
      </c>
      <c r="M60" s="136" t="e">
        <f>_xlfn.XLOOKUP(
    C60 &amp; "|" &amp; D60 &amp; "|" &amp; E60,#REF!,#REF!,
   0
)</f>
        <v>#REF!</v>
      </c>
      <c r="N60" s="56" t="e">
        <f>_xlfn.XLOOKUP(
    C60 &amp; "|" &amp; D60 &amp; "|" &amp; E60,#REF!,#REF!,
   0
)</f>
        <v>#REF!</v>
      </c>
      <c r="O60" s="45" t="e">
        <f t="shared" si="6"/>
        <v>#REF!</v>
      </c>
      <c r="P60" s="45" t="e">
        <f>_xlfn.XLOOKUP(
    C60 &amp; "|" &amp; D60 &amp; "|" &amp; E60,#REF!,#REF!,
    "차열재 없음"
)</f>
        <v>#REF!</v>
      </c>
      <c r="Q60" s="45" t="e">
        <f>_xlfn.XLOOKUP(
    C60 &amp; "|" &amp; D60 &amp; "|" &amp; E60,#REF!,#REF!,
    "0"
)</f>
        <v>#REF!</v>
      </c>
      <c r="R60" s="45" t="e">
        <f>_xlfn.XLOOKUP(
    C60 &amp; "|" &amp; D60 &amp; "|" &amp; E60,#REF!,#REF!,
    "0"
)</f>
        <v>#REF!</v>
      </c>
      <c r="S60" s="45" t="e">
        <f t="shared" si="7"/>
        <v>#REF!</v>
      </c>
      <c r="T60" s="79" t="e">
        <f>_xlfn.XLOOKUP(
    C60 &amp; "|" &amp; D60 &amp; "|" &amp; E60,#REF!,#REF!,
    0
)</f>
        <v>#REF!</v>
      </c>
      <c r="U60" s="78" t="e">
        <f t="shared" si="8"/>
        <v>#REF!</v>
      </c>
      <c r="V60" s="67" t="e">
        <f>_xlfn.XLOOKUP(
    C60 &amp; "|" &amp; D60 &amp; "|" &amp; E60,#REF!,#REF!,
    0
)</f>
        <v>#REF!</v>
      </c>
      <c r="W60" s="67" t="e">
        <f t="shared" si="9"/>
        <v>#REF!</v>
      </c>
      <c r="X60" s="67" t="e">
        <f t="shared" si="10"/>
        <v>#REF!</v>
      </c>
      <c r="Y60" s="35" t="e">
        <f t="shared" si="11"/>
        <v>#REF!</v>
      </c>
    </row>
    <row r="61" spans="2:25" ht="26.5" customHeight="1">
      <c r="B61" s="34">
        <f t="shared" si="5"/>
        <v>49</v>
      </c>
      <c r="C61" s="40"/>
      <c r="D61" s="40"/>
      <c r="E61" s="41"/>
      <c r="F61" s="152"/>
      <c r="G61" s="37"/>
      <c r="H61" s="37"/>
      <c r="I61" s="132"/>
      <c r="J61" s="36"/>
      <c r="K61" s="45" t="e">
        <f>IF(V61=0,
    "판매가 없음",
    _xlfn.XLOOKUP(
        C61 &amp; "|" &amp; D61 &amp; "|" &amp; E61,#REF!,#REF!,
        "0"
    )
)</f>
        <v>#REF!</v>
      </c>
      <c r="L61" s="56" t="e">
        <f>_xlfn.XLOOKUP(
    C61 &amp; "|" &amp; D61 &amp; "|" &amp; E61,#REF!,#REF!,
   0
)</f>
        <v>#REF!</v>
      </c>
      <c r="M61" s="136" t="e">
        <f>_xlfn.XLOOKUP(
    C61 &amp; "|" &amp; D61 &amp; "|" &amp; E61,#REF!,#REF!,
   0
)</f>
        <v>#REF!</v>
      </c>
      <c r="N61" s="56" t="e">
        <f>_xlfn.XLOOKUP(
    C61 &amp; "|" &amp; D61 &amp; "|" &amp; E61,#REF!,#REF!,
   0
)</f>
        <v>#REF!</v>
      </c>
      <c r="O61" s="45" t="e">
        <f t="shared" si="6"/>
        <v>#REF!</v>
      </c>
      <c r="P61" s="45" t="e">
        <f>_xlfn.XLOOKUP(
    C61 &amp; "|" &amp; D61 &amp; "|" &amp; E61,#REF!,#REF!,
    "차열재 없음"
)</f>
        <v>#REF!</v>
      </c>
      <c r="Q61" s="45" t="e">
        <f>_xlfn.XLOOKUP(
    C61 &amp; "|" &amp; D61 &amp; "|" &amp; E61,#REF!,#REF!,
    "0"
)</f>
        <v>#REF!</v>
      </c>
      <c r="R61" s="45" t="e">
        <f>_xlfn.XLOOKUP(
    C61 &amp; "|" &amp; D61 &amp; "|" &amp; E61,#REF!,#REF!,
    "0"
)</f>
        <v>#REF!</v>
      </c>
      <c r="S61" s="45" t="e">
        <f t="shared" si="7"/>
        <v>#REF!</v>
      </c>
      <c r="T61" s="79" t="e">
        <f>_xlfn.XLOOKUP(
    C61 &amp; "|" &amp; D61 &amp; "|" &amp; E61,#REF!,#REF!,
    0
)</f>
        <v>#REF!</v>
      </c>
      <c r="U61" s="78" t="e">
        <f t="shared" si="8"/>
        <v>#REF!</v>
      </c>
      <c r="V61" s="67" t="e">
        <f>_xlfn.XLOOKUP(
    C61 &amp; "|" &amp; D61 &amp; "|" &amp; E61,#REF!,#REF!,
    0
)</f>
        <v>#REF!</v>
      </c>
      <c r="W61" s="67" t="e">
        <f t="shared" si="9"/>
        <v>#REF!</v>
      </c>
      <c r="X61" s="67" t="e">
        <f t="shared" si="10"/>
        <v>#REF!</v>
      </c>
      <c r="Y61" s="35" t="e">
        <f t="shared" si="11"/>
        <v>#REF!</v>
      </c>
    </row>
    <row r="62" spans="2:25" ht="26.5" customHeight="1">
      <c r="B62" s="34">
        <f t="shared" si="5"/>
        <v>50</v>
      </c>
      <c r="C62" s="40"/>
      <c r="D62" s="40"/>
      <c r="E62" s="41"/>
      <c r="F62" s="152"/>
      <c r="G62" s="37"/>
      <c r="H62" s="37"/>
      <c r="I62" s="132"/>
      <c r="J62" s="36"/>
      <c r="K62" s="45" t="e">
        <f>IF(V62=0,
    "판매가 없음",
    _xlfn.XLOOKUP(
        C62 &amp; "|" &amp; D62 &amp; "|" &amp; E62,#REF!,#REF!,
        "0"
    )
)</f>
        <v>#REF!</v>
      </c>
      <c r="L62" s="56" t="e">
        <f>_xlfn.XLOOKUP(
    C62 &amp; "|" &amp; D62 &amp; "|" &amp; E62,#REF!,#REF!,
   0
)</f>
        <v>#REF!</v>
      </c>
      <c r="M62" s="136" t="e">
        <f>_xlfn.XLOOKUP(
    C62 &amp; "|" &amp; D62 &amp; "|" &amp; E62,#REF!,#REF!,
   0
)</f>
        <v>#REF!</v>
      </c>
      <c r="N62" s="56" t="e">
        <f>_xlfn.XLOOKUP(
    C62 &amp; "|" &amp; D62 &amp; "|" &amp; E62,#REF!,#REF!,
   0
)</f>
        <v>#REF!</v>
      </c>
      <c r="O62" s="45" t="e">
        <f t="shared" si="6"/>
        <v>#REF!</v>
      </c>
      <c r="P62" s="45" t="e">
        <f>_xlfn.XLOOKUP(
    C62 &amp; "|" &amp; D62 &amp; "|" &amp; E62,#REF!,#REF!,
    "차열재 없음"
)</f>
        <v>#REF!</v>
      </c>
      <c r="Q62" s="45" t="e">
        <f>_xlfn.XLOOKUP(
    C62 &amp; "|" &amp; D62 &amp; "|" &amp; E62,#REF!,#REF!,
    "0"
)</f>
        <v>#REF!</v>
      </c>
      <c r="R62" s="45" t="e">
        <f>_xlfn.XLOOKUP(
    C62 &amp; "|" &amp; D62 &amp; "|" &amp; E62,#REF!,#REF!,
    "0"
)</f>
        <v>#REF!</v>
      </c>
      <c r="S62" s="45" t="e">
        <f t="shared" si="7"/>
        <v>#REF!</v>
      </c>
      <c r="T62" s="79" t="e">
        <f>_xlfn.XLOOKUP(
    C62 &amp; "|" &amp; D62 &amp; "|" &amp; E62,#REF!,#REF!,
    0
)</f>
        <v>#REF!</v>
      </c>
      <c r="U62" s="78" t="e">
        <f t="shared" si="8"/>
        <v>#REF!</v>
      </c>
      <c r="V62" s="67" t="e">
        <f>_xlfn.XLOOKUP(
    C62 &amp; "|" &amp; D62 &amp; "|" &amp; E62,#REF!,#REF!,
    0
)</f>
        <v>#REF!</v>
      </c>
      <c r="W62" s="67" t="e">
        <f t="shared" si="9"/>
        <v>#REF!</v>
      </c>
      <c r="X62" s="67" t="e">
        <f t="shared" si="10"/>
        <v>#REF!</v>
      </c>
      <c r="Y62" s="35" t="e">
        <f t="shared" si="11"/>
        <v>#REF!</v>
      </c>
    </row>
    <row r="63" spans="2:25" ht="26.5" customHeight="1">
      <c r="B63" s="34">
        <f t="shared" si="5"/>
        <v>51</v>
      </c>
      <c r="C63" s="40"/>
      <c r="D63" s="40"/>
      <c r="E63" s="41"/>
      <c r="F63" s="152"/>
      <c r="G63" s="37"/>
      <c r="H63" s="37"/>
      <c r="I63" s="132"/>
      <c r="J63" s="36"/>
      <c r="K63" s="45" t="e">
        <f>IF(V63=0,
    "판매가 없음",
    _xlfn.XLOOKUP(
        C63 &amp; "|" &amp; D63 &amp; "|" &amp; E63,#REF!,#REF!,
        "0"
    )
)</f>
        <v>#REF!</v>
      </c>
      <c r="L63" s="56" t="e">
        <f>_xlfn.XLOOKUP(
    C63 &amp; "|" &amp; D63 &amp; "|" &amp; E63,#REF!,#REF!,
   0
)</f>
        <v>#REF!</v>
      </c>
      <c r="M63" s="136" t="e">
        <f>_xlfn.XLOOKUP(
    C63 &amp; "|" &amp; D63 &amp; "|" &amp; E63,#REF!,#REF!,
   0
)</f>
        <v>#REF!</v>
      </c>
      <c r="N63" s="56" t="e">
        <f>_xlfn.XLOOKUP(
    C63 &amp; "|" &amp; D63 &amp; "|" &amp; E63,#REF!,#REF!,
   0
)</f>
        <v>#REF!</v>
      </c>
      <c r="O63" s="45" t="e">
        <f t="shared" si="6"/>
        <v>#REF!</v>
      </c>
      <c r="P63" s="45" t="e">
        <f>_xlfn.XLOOKUP(
    C63 &amp; "|" &amp; D63 &amp; "|" &amp; E63,#REF!,#REF!,
    "차열재 없음"
)</f>
        <v>#REF!</v>
      </c>
      <c r="Q63" s="45" t="e">
        <f>_xlfn.XLOOKUP(
    C63 &amp; "|" &amp; D63 &amp; "|" &amp; E63,#REF!,#REF!,
    "0"
)</f>
        <v>#REF!</v>
      </c>
      <c r="R63" s="45" t="e">
        <f>_xlfn.XLOOKUP(
    C63 &amp; "|" &amp; D63 &amp; "|" &amp; E63,#REF!,#REF!,
    "0"
)</f>
        <v>#REF!</v>
      </c>
      <c r="S63" s="45" t="e">
        <f t="shared" si="7"/>
        <v>#REF!</v>
      </c>
      <c r="T63" s="79" t="e">
        <f>_xlfn.XLOOKUP(
    C63 &amp; "|" &amp; D63 &amp; "|" &amp; E63,#REF!,#REF!,
    0
)</f>
        <v>#REF!</v>
      </c>
      <c r="U63" s="78" t="e">
        <f t="shared" si="8"/>
        <v>#REF!</v>
      </c>
      <c r="V63" s="67" t="e">
        <f>_xlfn.XLOOKUP(
    C63 &amp; "|" &amp; D63 &amp; "|" &amp; E63,#REF!,#REF!,
    0
)</f>
        <v>#REF!</v>
      </c>
      <c r="W63" s="67" t="e">
        <f t="shared" si="9"/>
        <v>#REF!</v>
      </c>
      <c r="X63" s="67" t="e">
        <f t="shared" si="10"/>
        <v>#REF!</v>
      </c>
      <c r="Y63" s="35" t="e">
        <f t="shared" si="11"/>
        <v>#REF!</v>
      </c>
    </row>
    <row r="64" spans="2:25" ht="26.5" customHeight="1">
      <c r="B64" s="34">
        <f t="shared" si="5"/>
        <v>52</v>
      </c>
      <c r="C64" s="40"/>
      <c r="D64" s="40"/>
      <c r="E64" s="41"/>
      <c r="F64" s="152"/>
      <c r="G64" s="37"/>
      <c r="H64" s="37"/>
      <c r="I64" s="132"/>
      <c r="J64" s="36"/>
      <c r="K64" s="45" t="e">
        <f>IF(V64=0,
    "판매가 없음",
    _xlfn.XLOOKUP(
        C64 &amp; "|" &amp; D64 &amp; "|" &amp; E64,#REF!,#REF!,
        "0"
    )
)</f>
        <v>#REF!</v>
      </c>
      <c r="L64" s="56" t="e">
        <f>_xlfn.XLOOKUP(
    C64 &amp; "|" &amp; D64 &amp; "|" &amp; E64,#REF!,#REF!,
   0
)</f>
        <v>#REF!</v>
      </c>
      <c r="M64" s="136" t="e">
        <f>_xlfn.XLOOKUP(
    C64 &amp; "|" &amp; D64 &amp; "|" &amp; E64,#REF!,#REF!,
   0
)</f>
        <v>#REF!</v>
      </c>
      <c r="N64" s="56" t="e">
        <f>_xlfn.XLOOKUP(
    C64 &amp; "|" &amp; D64 &amp; "|" &amp; E64,#REF!,#REF!,
   0
)</f>
        <v>#REF!</v>
      </c>
      <c r="O64" s="45" t="e">
        <f t="shared" si="6"/>
        <v>#REF!</v>
      </c>
      <c r="P64" s="45" t="e">
        <f>_xlfn.XLOOKUP(
    C64 &amp; "|" &amp; D64 &amp; "|" &amp; E64,#REF!,#REF!,
    "차열재 없음"
)</f>
        <v>#REF!</v>
      </c>
      <c r="Q64" s="45" t="e">
        <f>_xlfn.XLOOKUP(
    C64 &amp; "|" &amp; D64 &amp; "|" &amp; E64,#REF!,#REF!,
    "0"
)</f>
        <v>#REF!</v>
      </c>
      <c r="R64" s="45" t="e">
        <f>_xlfn.XLOOKUP(
    C64 &amp; "|" &amp; D64 &amp; "|" &amp; E64,#REF!,#REF!,
    "0"
)</f>
        <v>#REF!</v>
      </c>
      <c r="S64" s="45" t="e">
        <f t="shared" si="7"/>
        <v>#REF!</v>
      </c>
      <c r="T64" s="79" t="e">
        <f>_xlfn.XLOOKUP(
    C64 &amp; "|" &amp; D64 &amp; "|" &amp; E64,#REF!,#REF!,
    0
)</f>
        <v>#REF!</v>
      </c>
      <c r="U64" s="78" t="e">
        <f t="shared" si="8"/>
        <v>#REF!</v>
      </c>
      <c r="V64" s="67" t="e">
        <f>_xlfn.XLOOKUP(
    C64 &amp; "|" &amp; D64 &amp; "|" &amp; E64,#REF!,#REF!,
    0
)</f>
        <v>#REF!</v>
      </c>
      <c r="W64" s="67" t="e">
        <f t="shared" si="9"/>
        <v>#REF!</v>
      </c>
      <c r="X64" s="67" t="e">
        <f t="shared" si="10"/>
        <v>#REF!</v>
      </c>
      <c r="Y64" s="35" t="e">
        <f t="shared" si="11"/>
        <v>#REF!</v>
      </c>
    </row>
    <row r="65" spans="2:25" ht="26.5" customHeight="1">
      <c r="B65" s="34">
        <f t="shared" si="5"/>
        <v>53</v>
      </c>
      <c r="C65" s="40"/>
      <c r="D65" s="40"/>
      <c r="E65" s="41"/>
      <c r="F65" s="152"/>
      <c r="G65" s="37"/>
      <c r="H65" s="37"/>
      <c r="I65" s="132"/>
      <c r="J65" s="36"/>
      <c r="K65" s="45" t="e">
        <f>IF(V65=0,
    "판매가 없음",
    _xlfn.XLOOKUP(
        C65 &amp; "|" &amp; D65 &amp; "|" &amp; E65,#REF!,#REF!,
        "0"
    )
)</f>
        <v>#REF!</v>
      </c>
      <c r="L65" s="56" t="e">
        <f>_xlfn.XLOOKUP(
    C65 &amp; "|" &amp; D65 &amp; "|" &amp; E65,#REF!,#REF!,
   0
)</f>
        <v>#REF!</v>
      </c>
      <c r="M65" s="136" t="e">
        <f>_xlfn.XLOOKUP(
    C65 &amp; "|" &amp; D65 &amp; "|" &amp; E65,#REF!,#REF!,
   0
)</f>
        <v>#REF!</v>
      </c>
      <c r="N65" s="56" t="e">
        <f>_xlfn.XLOOKUP(
    C65 &amp; "|" &amp; D65 &amp; "|" &amp; E65,#REF!,#REF!,
   0
)</f>
        <v>#REF!</v>
      </c>
      <c r="O65" s="45" t="e">
        <f t="shared" si="6"/>
        <v>#REF!</v>
      </c>
      <c r="P65" s="45" t="e">
        <f>_xlfn.XLOOKUP(
    C65 &amp; "|" &amp; D65 &amp; "|" &amp; E65,#REF!,#REF!,
    "차열재 없음"
)</f>
        <v>#REF!</v>
      </c>
      <c r="Q65" s="45" t="e">
        <f>_xlfn.XLOOKUP(
    C65 &amp; "|" &amp; D65 &amp; "|" &amp; E65,#REF!,#REF!,
    "0"
)</f>
        <v>#REF!</v>
      </c>
      <c r="R65" s="45" t="e">
        <f>_xlfn.XLOOKUP(
    C65 &amp; "|" &amp; D65 &amp; "|" &amp; E65,#REF!,#REF!,
    "0"
)</f>
        <v>#REF!</v>
      </c>
      <c r="S65" s="45" t="e">
        <f t="shared" si="7"/>
        <v>#REF!</v>
      </c>
      <c r="T65" s="79" t="e">
        <f>_xlfn.XLOOKUP(
    C65 &amp; "|" &amp; D65 &amp; "|" &amp; E65,#REF!,#REF!,
    0
)</f>
        <v>#REF!</v>
      </c>
      <c r="U65" s="78" t="e">
        <f t="shared" si="8"/>
        <v>#REF!</v>
      </c>
      <c r="V65" s="67" t="e">
        <f>_xlfn.XLOOKUP(
    C65 &amp; "|" &amp; D65 &amp; "|" &amp; E65,#REF!,#REF!,
    0
)</f>
        <v>#REF!</v>
      </c>
      <c r="W65" s="67" t="e">
        <f t="shared" si="9"/>
        <v>#REF!</v>
      </c>
      <c r="X65" s="67" t="e">
        <f t="shared" si="10"/>
        <v>#REF!</v>
      </c>
      <c r="Y65" s="35" t="e">
        <f t="shared" si="11"/>
        <v>#REF!</v>
      </c>
    </row>
    <row r="66" spans="2:25" ht="26.5" customHeight="1">
      <c r="B66" s="34">
        <f t="shared" si="5"/>
        <v>54</v>
      </c>
      <c r="C66" s="40"/>
      <c r="D66" s="40"/>
      <c r="E66" s="41"/>
      <c r="F66" s="152"/>
      <c r="G66" s="37"/>
      <c r="H66" s="37"/>
      <c r="I66" s="132"/>
      <c r="J66" s="36"/>
      <c r="K66" s="45" t="e">
        <f>IF(V66=0,
    "판매가 없음",
    _xlfn.XLOOKUP(
        C66 &amp; "|" &amp; D66 &amp; "|" &amp; E66,#REF!,#REF!,
        "0"
    )
)</f>
        <v>#REF!</v>
      </c>
      <c r="L66" s="56" t="e">
        <f>_xlfn.XLOOKUP(
    C66 &amp; "|" &amp; D66 &amp; "|" &amp; E66,#REF!,#REF!,
   0
)</f>
        <v>#REF!</v>
      </c>
      <c r="M66" s="136" t="e">
        <f>_xlfn.XLOOKUP(
    C66 &amp; "|" &amp; D66 &amp; "|" &amp; E66,#REF!,#REF!,
   0
)</f>
        <v>#REF!</v>
      </c>
      <c r="N66" s="56" t="e">
        <f>_xlfn.XLOOKUP(
    C66 &amp; "|" &amp; D66 &amp; "|" &amp; E66,#REF!,#REF!,
   0
)</f>
        <v>#REF!</v>
      </c>
      <c r="O66" s="45" t="e">
        <f t="shared" si="6"/>
        <v>#REF!</v>
      </c>
      <c r="P66" s="45" t="e">
        <f>_xlfn.XLOOKUP(
    C66 &amp; "|" &amp; D66 &amp; "|" &amp; E66,#REF!,#REF!,
    "차열재 없음"
)</f>
        <v>#REF!</v>
      </c>
      <c r="Q66" s="45" t="e">
        <f>_xlfn.XLOOKUP(
    C66 &amp; "|" &amp; D66 &amp; "|" &amp; E66,#REF!,#REF!,
    "0"
)</f>
        <v>#REF!</v>
      </c>
      <c r="R66" s="45" t="e">
        <f>_xlfn.XLOOKUP(
    C66 &amp; "|" &amp; D66 &amp; "|" &amp; E66,#REF!,#REF!,
    "0"
)</f>
        <v>#REF!</v>
      </c>
      <c r="S66" s="45" t="e">
        <f t="shared" si="7"/>
        <v>#REF!</v>
      </c>
      <c r="T66" s="79" t="e">
        <f>_xlfn.XLOOKUP(
    C66 &amp; "|" &amp; D66 &amp; "|" &amp; E66,#REF!,#REF!,
    0
)</f>
        <v>#REF!</v>
      </c>
      <c r="U66" s="78" t="e">
        <f t="shared" si="8"/>
        <v>#REF!</v>
      </c>
      <c r="V66" s="67" t="e">
        <f>_xlfn.XLOOKUP(
    C66 &amp; "|" &amp; D66 &amp; "|" &amp; E66,#REF!,#REF!,
    0
)</f>
        <v>#REF!</v>
      </c>
      <c r="W66" s="67" t="e">
        <f t="shared" si="9"/>
        <v>#REF!</v>
      </c>
      <c r="X66" s="67" t="e">
        <f t="shared" si="10"/>
        <v>#REF!</v>
      </c>
      <c r="Y66" s="35" t="e">
        <f t="shared" si="11"/>
        <v>#REF!</v>
      </c>
    </row>
    <row r="67" spans="2:25" ht="26.5" customHeight="1">
      <c r="B67" s="34">
        <f t="shared" si="5"/>
        <v>55</v>
      </c>
      <c r="C67" s="40"/>
      <c r="D67" s="40"/>
      <c r="E67" s="41"/>
      <c r="F67" s="152"/>
      <c r="G67" s="37"/>
      <c r="H67" s="37"/>
      <c r="I67" s="132"/>
      <c r="J67" s="36"/>
      <c r="K67" s="45" t="e">
        <f>IF(V67=0,
    "판매가 없음",
    _xlfn.XLOOKUP(
        C67 &amp; "|" &amp; D67 &amp; "|" &amp; E67,#REF!,#REF!,
        "0"
    )
)</f>
        <v>#REF!</v>
      </c>
      <c r="L67" s="56" t="e">
        <f>_xlfn.XLOOKUP(
    C67 &amp; "|" &amp; D67 &amp; "|" &amp; E67,#REF!,#REF!,
   0
)</f>
        <v>#REF!</v>
      </c>
      <c r="M67" s="136" t="e">
        <f>_xlfn.XLOOKUP(
    C67 &amp; "|" &amp; D67 &amp; "|" &amp; E67,#REF!,#REF!,
   0
)</f>
        <v>#REF!</v>
      </c>
      <c r="N67" s="56" t="e">
        <f>_xlfn.XLOOKUP(
    C67 &amp; "|" &amp; D67 &amp; "|" &amp; E67,#REF!,#REF!,
   0
)</f>
        <v>#REF!</v>
      </c>
      <c r="O67" s="45" t="e">
        <f t="shared" si="6"/>
        <v>#REF!</v>
      </c>
      <c r="P67" s="45" t="e">
        <f>_xlfn.XLOOKUP(
    C67 &amp; "|" &amp; D67 &amp; "|" &amp; E67,#REF!,#REF!,
    "차열재 없음"
)</f>
        <v>#REF!</v>
      </c>
      <c r="Q67" s="45" t="e">
        <f>_xlfn.XLOOKUP(
    C67 &amp; "|" &amp; D67 &amp; "|" &amp; E67,#REF!,#REF!,
    "0"
)</f>
        <v>#REF!</v>
      </c>
      <c r="R67" s="45" t="e">
        <f>_xlfn.XLOOKUP(
    C67 &amp; "|" &amp; D67 &amp; "|" &amp; E67,#REF!,#REF!,
    "0"
)</f>
        <v>#REF!</v>
      </c>
      <c r="S67" s="45" t="e">
        <f t="shared" si="7"/>
        <v>#REF!</v>
      </c>
      <c r="T67" s="79" t="e">
        <f>_xlfn.XLOOKUP(
    C67 &amp; "|" &amp; D67 &amp; "|" &amp; E67,#REF!,#REF!,
    0
)</f>
        <v>#REF!</v>
      </c>
      <c r="U67" s="78" t="e">
        <f t="shared" si="8"/>
        <v>#REF!</v>
      </c>
      <c r="V67" s="67" t="e">
        <f>_xlfn.XLOOKUP(
    C67 &amp; "|" &amp; D67 &amp; "|" &amp; E67,#REF!,#REF!,
    0
)</f>
        <v>#REF!</v>
      </c>
      <c r="W67" s="67" t="e">
        <f t="shared" si="9"/>
        <v>#REF!</v>
      </c>
      <c r="X67" s="67" t="e">
        <f t="shared" si="10"/>
        <v>#REF!</v>
      </c>
      <c r="Y67" s="35" t="e">
        <f t="shared" si="11"/>
        <v>#REF!</v>
      </c>
    </row>
    <row r="68" spans="2:25" ht="26.5" customHeight="1">
      <c r="B68" s="34">
        <f t="shared" si="5"/>
        <v>56</v>
      </c>
      <c r="C68" s="40"/>
      <c r="D68" s="40"/>
      <c r="E68" s="41"/>
      <c r="F68" s="152"/>
      <c r="G68" s="37"/>
      <c r="H68" s="37"/>
      <c r="I68" s="132"/>
      <c r="J68" s="36"/>
      <c r="K68" s="45" t="e">
        <f>IF(V68=0,
    "판매가 없음",
    _xlfn.XLOOKUP(
        C68 &amp; "|" &amp; D68 &amp; "|" &amp; E68,#REF!,#REF!,
        "0"
    )
)</f>
        <v>#REF!</v>
      </c>
      <c r="L68" s="56" t="e">
        <f>_xlfn.XLOOKUP(
    C68 &amp; "|" &amp; D68 &amp; "|" &amp; E68,#REF!,#REF!,
   0
)</f>
        <v>#REF!</v>
      </c>
      <c r="M68" s="136" t="e">
        <f>_xlfn.XLOOKUP(
    C68 &amp; "|" &amp; D68 &amp; "|" &amp; E68,#REF!,#REF!,
   0
)</f>
        <v>#REF!</v>
      </c>
      <c r="N68" s="56" t="e">
        <f>_xlfn.XLOOKUP(
    C68 &amp; "|" &amp; D68 &amp; "|" &amp; E68,#REF!,#REF!,
   0
)</f>
        <v>#REF!</v>
      </c>
      <c r="O68" s="45" t="e">
        <f t="shared" si="6"/>
        <v>#REF!</v>
      </c>
      <c r="P68" s="45" t="e">
        <f>_xlfn.XLOOKUP(
    C68 &amp; "|" &amp; D68 &amp; "|" &amp; E68,#REF!,#REF!,
    "차열재 없음"
)</f>
        <v>#REF!</v>
      </c>
      <c r="Q68" s="45" t="e">
        <f>_xlfn.XLOOKUP(
    C68 &amp; "|" &amp; D68 &amp; "|" &amp; E68,#REF!,#REF!,
    "0"
)</f>
        <v>#REF!</v>
      </c>
      <c r="R68" s="45" t="e">
        <f>_xlfn.XLOOKUP(
    C68 &amp; "|" &amp; D68 &amp; "|" &amp; E68,#REF!,#REF!,
    "0"
)</f>
        <v>#REF!</v>
      </c>
      <c r="S68" s="45" t="e">
        <f t="shared" si="7"/>
        <v>#REF!</v>
      </c>
      <c r="T68" s="79" t="e">
        <f>_xlfn.XLOOKUP(
    C68 &amp; "|" &amp; D68 &amp; "|" &amp; E68,#REF!,#REF!,
    0
)</f>
        <v>#REF!</v>
      </c>
      <c r="U68" s="78" t="e">
        <f t="shared" si="8"/>
        <v>#REF!</v>
      </c>
      <c r="V68" s="67" t="e">
        <f>_xlfn.XLOOKUP(
    C68 &amp; "|" &amp; D68 &amp; "|" &amp; E68,#REF!,#REF!,
    0
)</f>
        <v>#REF!</v>
      </c>
      <c r="W68" s="67" t="e">
        <f t="shared" si="9"/>
        <v>#REF!</v>
      </c>
      <c r="X68" s="67" t="e">
        <f t="shared" si="10"/>
        <v>#REF!</v>
      </c>
      <c r="Y68" s="35" t="e">
        <f t="shared" si="11"/>
        <v>#REF!</v>
      </c>
    </row>
    <row r="69" spans="2:25" ht="26.5" customHeight="1">
      <c r="B69" s="34">
        <f t="shared" si="5"/>
        <v>57</v>
      </c>
      <c r="C69" s="40"/>
      <c r="D69" s="40"/>
      <c r="E69" s="41"/>
      <c r="F69" s="152"/>
      <c r="G69" s="37"/>
      <c r="H69" s="37"/>
      <c r="I69" s="132"/>
      <c r="J69" s="36"/>
      <c r="K69" s="45" t="e">
        <f>IF(V69=0,
    "판매가 없음",
    _xlfn.XLOOKUP(
        C69 &amp; "|" &amp; D69 &amp; "|" &amp; E69,#REF!,#REF!,
        "0"
    )
)</f>
        <v>#REF!</v>
      </c>
      <c r="L69" s="56" t="e">
        <f>_xlfn.XLOOKUP(
    C69 &amp; "|" &amp; D69 &amp; "|" &amp; E69,#REF!,#REF!,
   0
)</f>
        <v>#REF!</v>
      </c>
      <c r="M69" s="136" t="e">
        <f>_xlfn.XLOOKUP(
    C69 &amp; "|" &amp; D69 &amp; "|" &amp; E69,#REF!,#REF!,
   0
)</f>
        <v>#REF!</v>
      </c>
      <c r="N69" s="56" t="e">
        <f>_xlfn.XLOOKUP(
    C69 &amp; "|" &amp; D69 &amp; "|" &amp; E69,#REF!,#REF!,
   0
)</f>
        <v>#REF!</v>
      </c>
      <c r="O69" s="45" t="e">
        <f t="shared" si="6"/>
        <v>#REF!</v>
      </c>
      <c r="P69" s="45" t="e">
        <f>_xlfn.XLOOKUP(
    C69 &amp; "|" &amp; D69 &amp; "|" &amp; E69,#REF!,#REF!,
    "차열재 없음"
)</f>
        <v>#REF!</v>
      </c>
      <c r="Q69" s="45" t="e">
        <f>_xlfn.XLOOKUP(
    C69 &amp; "|" &amp; D69 &amp; "|" &amp; E69,#REF!,#REF!,
    "0"
)</f>
        <v>#REF!</v>
      </c>
      <c r="R69" s="45" t="e">
        <f>_xlfn.XLOOKUP(
    C69 &amp; "|" &amp; D69 &amp; "|" &amp; E69,#REF!,#REF!,
    "0"
)</f>
        <v>#REF!</v>
      </c>
      <c r="S69" s="45" t="e">
        <f t="shared" si="7"/>
        <v>#REF!</v>
      </c>
      <c r="T69" s="79" t="e">
        <f>_xlfn.XLOOKUP(
    C69 &amp; "|" &amp; D69 &amp; "|" &amp; E69,#REF!,#REF!,
    0
)</f>
        <v>#REF!</v>
      </c>
      <c r="U69" s="78" t="e">
        <f t="shared" si="8"/>
        <v>#REF!</v>
      </c>
      <c r="V69" s="67" t="e">
        <f>_xlfn.XLOOKUP(
    C69 &amp; "|" &amp; D69 &amp; "|" &amp; E69,#REF!,#REF!,
    0
)</f>
        <v>#REF!</v>
      </c>
      <c r="W69" s="67" t="e">
        <f t="shared" si="9"/>
        <v>#REF!</v>
      </c>
      <c r="X69" s="67" t="e">
        <f t="shared" si="10"/>
        <v>#REF!</v>
      </c>
      <c r="Y69" s="35" t="e">
        <f t="shared" si="11"/>
        <v>#REF!</v>
      </c>
    </row>
    <row r="70" spans="2:25" ht="26.5" customHeight="1">
      <c r="B70" s="34">
        <f t="shared" si="5"/>
        <v>58</v>
      </c>
      <c r="C70" s="40"/>
      <c r="D70" s="40"/>
      <c r="E70" s="41"/>
      <c r="F70" s="152"/>
      <c r="G70" s="37"/>
      <c r="H70" s="37"/>
      <c r="I70" s="132"/>
      <c r="J70" s="36"/>
      <c r="K70" s="45" t="e">
        <f>IF(V70=0,
    "판매가 없음",
    _xlfn.XLOOKUP(
        C70 &amp; "|" &amp; D70 &amp; "|" &amp; E70,#REF!,#REF!,
        "0"
    )
)</f>
        <v>#REF!</v>
      </c>
      <c r="L70" s="56" t="e">
        <f>_xlfn.XLOOKUP(
    C70 &amp; "|" &amp; D70 &amp; "|" &amp; E70,#REF!,#REF!,
   0
)</f>
        <v>#REF!</v>
      </c>
      <c r="M70" s="136" t="e">
        <f>_xlfn.XLOOKUP(
    C70 &amp; "|" &amp; D70 &amp; "|" &amp; E70,#REF!,#REF!,
   0
)</f>
        <v>#REF!</v>
      </c>
      <c r="N70" s="56" t="e">
        <f>_xlfn.XLOOKUP(
    C70 &amp; "|" &amp; D70 &amp; "|" &amp; E70,#REF!,#REF!,
   0
)</f>
        <v>#REF!</v>
      </c>
      <c r="O70" s="45" t="e">
        <f t="shared" si="6"/>
        <v>#REF!</v>
      </c>
      <c r="P70" s="45" t="e">
        <f>_xlfn.XLOOKUP(
    C70 &amp; "|" &amp; D70 &amp; "|" &amp; E70,#REF!,#REF!,
    "차열재 없음"
)</f>
        <v>#REF!</v>
      </c>
      <c r="Q70" s="45" t="e">
        <f>_xlfn.XLOOKUP(
    C70 &amp; "|" &amp; D70 &amp; "|" &amp; E70,#REF!,#REF!,
    "0"
)</f>
        <v>#REF!</v>
      </c>
      <c r="R70" s="45" t="e">
        <f>_xlfn.XLOOKUP(
    C70 &amp; "|" &amp; D70 &amp; "|" &amp; E70,#REF!,#REF!,
    "0"
)</f>
        <v>#REF!</v>
      </c>
      <c r="S70" s="45" t="e">
        <f t="shared" si="7"/>
        <v>#REF!</v>
      </c>
      <c r="T70" s="79" t="e">
        <f>_xlfn.XLOOKUP(
    C70 &amp; "|" &amp; D70 &amp; "|" &amp; E70,#REF!,#REF!,
    0
)</f>
        <v>#REF!</v>
      </c>
      <c r="U70" s="78" t="e">
        <f t="shared" si="8"/>
        <v>#REF!</v>
      </c>
      <c r="V70" s="67" t="e">
        <f>_xlfn.XLOOKUP(
    C70 &amp; "|" &amp; D70 &amp; "|" &amp; E70,#REF!,#REF!,
    0
)</f>
        <v>#REF!</v>
      </c>
      <c r="W70" s="67" t="e">
        <f t="shared" si="9"/>
        <v>#REF!</v>
      </c>
      <c r="X70" s="67" t="e">
        <f t="shared" si="10"/>
        <v>#REF!</v>
      </c>
      <c r="Y70" s="35" t="e">
        <f t="shared" si="11"/>
        <v>#REF!</v>
      </c>
    </row>
    <row r="71" spans="2:25" ht="26.5" customHeight="1">
      <c r="B71" s="34">
        <f t="shared" si="5"/>
        <v>59</v>
      </c>
      <c r="C71" s="40"/>
      <c r="D71" s="40"/>
      <c r="E71" s="41"/>
      <c r="F71" s="152"/>
      <c r="G71" s="37"/>
      <c r="H71" s="37"/>
      <c r="I71" s="132"/>
      <c r="J71" s="36"/>
      <c r="K71" s="45" t="e">
        <f>IF(V71=0,
    "판매가 없음",
    _xlfn.XLOOKUP(
        C71 &amp; "|" &amp; D71 &amp; "|" &amp; E71,#REF!,#REF!,
        "0"
    )
)</f>
        <v>#REF!</v>
      </c>
      <c r="L71" s="56" t="e">
        <f>_xlfn.XLOOKUP(
    C71 &amp; "|" &amp; D71 &amp; "|" &amp; E71,#REF!,#REF!,
   0
)</f>
        <v>#REF!</v>
      </c>
      <c r="M71" s="136" t="e">
        <f>_xlfn.XLOOKUP(
    C71 &amp; "|" &amp; D71 &amp; "|" &amp; E71,#REF!,#REF!,
   0
)</f>
        <v>#REF!</v>
      </c>
      <c r="N71" s="56" t="e">
        <f>_xlfn.XLOOKUP(
    C71 &amp; "|" &amp; D71 &amp; "|" &amp; E71,#REF!,#REF!,
   0
)</f>
        <v>#REF!</v>
      </c>
      <c r="O71" s="45" t="e">
        <f t="shared" si="6"/>
        <v>#REF!</v>
      </c>
      <c r="P71" s="45" t="e">
        <f>_xlfn.XLOOKUP(
    C71 &amp; "|" &amp; D71 &amp; "|" &amp; E71,#REF!,#REF!,
    "차열재 없음"
)</f>
        <v>#REF!</v>
      </c>
      <c r="Q71" s="45" t="e">
        <f>_xlfn.XLOOKUP(
    C71 &amp; "|" &amp; D71 &amp; "|" &amp; E71,#REF!,#REF!,
    "0"
)</f>
        <v>#REF!</v>
      </c>
      <c r="R71" s="45" t="e">
        <f>_xlfn.XLOOKUP(
    C71 &amp; "|" &amp; D71 &amp; "|" &amp; E71,#REF!,#REF!,
    "0"
)</f>
        <v>#REF!</v>
      </c>
      <c r="S71" s="45" t="e">
        <f t="shared" si="7"/>
        <v>#REF!</v>
      </c>
      <c r="T71" s="79" t="e">
        <f>_xlfn.XLOOKUP(
    C71 &amp; "|" &amp; D71 &amp; "|" &amp; E71,#REF!,#REF!,
    0
)</f>
        <v>#REF!</v>
      </c>
      <c r="U71" s="78" t="e">
        <f t="shared" si="8"/>
        <v>#REF!</v>
      </c>
      <c r="V71" s="67" t="e">
        <f>_xlfn.XLOOKUP(
    C71 &amp; "|" &amp; D71 &amp; "|" &amp; E71,#REF!,#REF!,
    0
)</f>
        <v>#REF!</v>
      </c>
      <c r="W71" s="67" t="e">
        <f t="shared" si="9"/>
        <v>#REF!</v>
      </c>
      <c r="X71" s="67" t="e">
        <f t="shared" si="10"/>
        <v>#REF!</v>
      </c>
      <c r="Y71" s="35" t="e">
        <f t="shared" si="11"/>
        <v>#REF!</v>
      </c>
    </row>
    <row r="72" spans="2:25" ht="26.5" customHeight="1">
      <c r="B72" s="34">
        <f t="shared" si="5"/>
        <v>60</v>
      </c>
      <c r="C72" s="40"/>
      <c r="D72" s="40"/>
      <c r="E72" s="41"/>
      <c r="F72" s="152"/>
      <c r="G72" s="37"/>
      <c r="H72" s="37"/>
      <c r="I72" s="132"/>
      <c r="J72" s="36"/>
      <c r="K72" s="45" t="e">
        <f>IF(V72=0,
    "판매가 없음",
    _xlfn.XLOOKUP(
        C72 &amp; "|" &amp; D72 &amp; "|" &amp; E72,#REF!,#REF!,
        "0"
    )
)</f>
        <v>#REF!</v>
      </c>
      <c r="L72" s="56" t="e">
        <f>_xlfn.XLOOKUP(
    C72 &amp; "|" &amp; D72 &amp; "|" &amp; E72,#REF!,#REF!,
   0
)</f>
        <v>#REF!</v>
      </c>
      <c r="M72" s="136" t="e">
        <f>_xlfn.XLOOKUP(
    C72 &amp; "|" &amp; D72 &amp; "|" &amp; E72,#REF!,#REF!,
   0
)</f>
        <v>#REF!</v>
      </c>
      <c r="N72" s="56" t="e">
        <f>_xlfn.XLOOKUP(
    C72 &amp; "|" &amp; D72 &amp; "|" &amp; E72,#REF!,#REF!,
   0
)</f>
        <v>#REF!</v>
      </c>
      <c r="O72" s="45" t="e">
        <f t="shared" si="6"/>
        <v>#REF!</v>
      </c>
      <c r="P72" s="45" t="e">
        <f>_xlfn.XLOOKUP(
    C72 &amp; "|" &amp; D72 &amp; "|" &amp; E72,#REF!,#REF!,
    "차열재 없음"
)</f>
        <v>#REF!</v>
      </c>
      <c r="Q72" s="45" t="e">
        <f>_xlfn.XLOOKUP(
    C72 &amp; "|" &amp; D72 &amp; "|" &amp; E72,#REF!,#REF!,
    "0"
)</f>
        <v>#REF!</v>
      </c>
      <c r="R72" s="45" t="e">
        <f>_xlfn.XLOOKUP(
    C72 &amp; "|" &amp; D72 &amp; "|" &amp; E72,#REF!,#REF!,
    "0"
)</f>
        <v>#REF!</v>
      </c>
      <c r="S72" s="45" t="e">
        <f t="shared" si="7"/>
        <v>#REF!</v>
      </c>
      <c r="T72" s="79" t="e">
        <f>_xlfn.XLOOKUP(
    C72 &amp; "|" &amp; D72 &amp; "|" &amp; E72,#REF!,#REF!,
    0
)</f>
        <v>#REF!</v>
      </c>
      <c r="U72" s="78" t="e">
        <f t="shared" si="8"/>
        <v>#REF!</v>
      </c>
      <c r="V72" s="67" t="e">
        <f>_xlfn.XLOOKUP(
    C72 &amp; "|" &amp; D72 &amp; "|" &amp; E72,#REF!,#REF!,
    0
)</f>
        <v>#REF!</v>
      </c>
      <c r="W72" s="67" t="e">
        <f t="shared" si="9"/>
        <v>#REF!</v>
      </c>
      <c r="X72" s="67" t="e">
        <f t="shared" si="10"/>
        <v>#REF!</v>
      </c>
      <c r="Y72" s="35" t="e">
        <f t="shared" si="11"/>
        <v>#REF!</v>
      </c>
    </row>
    <row r="73" spans="2:25" ht="26.5" customHeight="1">
      <c r="B73" s="34">
        <f t="shared" si="5"/>
        <v>61</v>
      </c>
      <c r="C73" s="40"/>
      <c r="D73" s="40"/>
      <c r="E73" s="41"/>
      <c r="F73" s="152"/>
      <c r="G73" s="37"/>
      <c r="H73" s="37"/>
      <c r="I73" s="132"/>
      <c r="J73" s="36"/>
      <c r="K73" s="45" t="e">
        <f>IF(V73=0,
    "판매가 없음",
    _xlfn.XLOOKUP(
        C73 &amp; "|" &amp; D73 &amp; "|" &amp; E73,#REF!,#REF!,
        "0"
    )
)</f>
        <v>#REF!</v>
      </c>
      <c r="L73" s="56" t="e">
        <f>_xlfn.XLOOKUP(
    C73 &amp; "|" &amp; D73 &amp; "|" &amp; E73,#REF!,#REF!,
   0
)</f>
        <v>#REF!</v>
      </c>
      <c r="M73" s="136" t="e">
        <f>_xlfn.XLOOKUP(
    C73 &amp; "|" &amp; D73 &amp; "|" &amp; E73,#REF!,#REF!,
   0
)</f>
        <v>#REF!</v>
      </c>
      <c r="N73" s="56" t="e">
        <f>_xlfn.XLOOKUP(
    C73 &amp; "|" &amp; D73 &amp; "|" &amp; E73,#REF!,#REF!,
   0
)</f>
        <v>#REF!</v>
      </c>
      <c r="O73" s="45" t="e">
        <f t="shared" si="6"/>
        <v>#REF!</v>
      </c>
      <c r="P73" s="45" t="e">
        <f>_xlfn.XLOOKUP(
    C73 &amp; "|" &amp; D73 &amp; "|" &amp; E73,#REF!,#REF!,
    "차열재 없음"
)</f>
        <v>#REF!</v>
      </c>
      <c r="Q73" s="45" t="e">
        <f>_xlfn.XLOOKUP(
    C73 &amp; "|" &amp; D73 &amp; "|" &amp; E73,#REF!,#REF!,
    "0"
)</f>
        <v>#REF!</v>
      </c>
      <c r="R73" s="45" t="e">
        <f>_xlfn.XLOOKUP(
    C73 &amp; "|" &amp; D73 &amp; "|" &amp; E73,#REF!,#REF!,
    "0"
)</f>
        <v>#REF!</v>
      </c>
      <c r="S73" s="45" t="e">
        <f t="shared" si="7"/>
        <v>#REF!</v>
      </c>
      <c r="T73" s="79" t="e">
        <f>_xlfn.XLOOKUP(
    C73 &amp; "|" &amp; D73 &amp; "|" &amp; E73,#REF!,#REF!,
    0
)</f>
        <v>#REF!</v>
      </c>
      <c r="U73" s="78" t="e">
        <f t="shared" si="8"/>
        <v>#REF!</v>
      </c>
      <c r="V73" s="67" t="e">
        <f>_xlfn.XLOOKUP(
    C73 &amp; "|" &amp; D73 &amp; "|" &amp; E73,#REF!,#REF!,
    0
)</f>
        <v>#REF!</v>
      </c>
      <c r="W73" s="67" t="e">
        <f t="shared" si="9"/>
        <v>#REF!</v>
      </c>
      <c r="X73" s="67" t="e">
        <f t="shared" si="10"/>
        <v>#REF!</v>
      </c>
      <c r="Y73" s="35" t="e">
        <f t="shared" si="11"/>
        <v>#REF!</v>
      </c>
    </row>
    <row r="74" spans="2:25" ht="26.5" customHeight="1">
      <c r="B74" s="34">
        <f t="shared" si="5"/>
        <v>62</v>
      </c>
      <c r="C74" s="40"/>
      <c r="D74" s="40"/>
      <c r="E74" s="41"/>
      <c r="F74" s="152"/>
      <c r="G74" s="37"/>
      <c r="H74" s="37"/>
      <c r="I74" s="132"/>
      <c r="J74" s="36"/>
      <c r="K74" s="45" t="e">
        <f>IF(V74=0,
    "판매가 없음",
    _xlfn.XLOOKUP(
        C74 &amp; "|" &amp; D74 &amp; "|" &amp; E74,#REF!,#REF!,
        "0"
    )
)</f>
        <v>#REF!</v>
      </c>
      <c r="L74" s="56" t="e">
        <f>_xlfn.XLOOKUP(
    C74 &amp; "|" &amp; D74 &amp; "|" &amp; E74,#REF!,#REF!,
   0
)</f>
        <v>#REF!</v>
      </c>
      <c r="M74" s="136" t="e">
        <f>_xlfn.XLOOKUP(
    C74 &amp; "|" &amp; D74 &amp; "|" &amp; E74,#REF!,#REF!,
   0
)</f>
        <v>#REF!</v>
      </c>
      <c r="N74" s="56" t="e">
        <f>_xlfn.XLOOKUP(
    C74 &amp; "|" &amp; D74 &amp; "|" &amp; E74,#REF!,#REF!,
   0
)</f>
        <v>#REF!</v>
      </c>
      <c r="O74" s="45" t="e">
        <f t="shared" si="6"/>
        <v>#REF!</v>
      </c>
      <c r="P74" s="45" t="e">
        <f>_xlfn.XLOOKUP(
    C74 &amp; "|" &amp; D74 &amp; "|" &amp; E74,#REF!,#REF!,
    "차열재 없음"
)</f>
        <v>#REF!</v>
      </c>
      <c r="Q74" s="45" t="e">
        <f>_xlfn.XLOOKUP(
    C74 &amp; "|" &amp; D74 &amp; "|" &amp; E74,#REF!,#REF!,
    "0"
)</f>
        <v>#REF!</v>
      </c>
      <c r="R74" s="45" t="e">
        <f>_xlfn.XLOOKUP(
    C74 &amp; "|" &amp; D74 &amp; "|" &amp; E74,#REF!,#REF!,
    "0"
)</f>
        <v>#REF!</v>
      </c>
      <c r="S74" s="45" t="e">
        <f t="shared" si="7"/>
        <v>#REF!</v>
      </c>
      <c r="T74" s="79" t="e">
        <f>_xlfn.XLOOKUP(
    C74 &amp; "|" &amp; D74 &amp; "|" &amp; E74,#REF!,#REF!,
    0
)</f>
        <v>#REF!</v>
      </c>
      <c r="U74" s="78" t="e">
        <f t="shared" si="8"/>
        <v>#REF!</v>
      </c>
      <c r="V74" s="67" t="e">
        <f>_xlfn.XLOOKUP(
    C74 &amp; "|" &amp; D74 &amp; "|" &amp; E74,#REF!,#REF!,
    0
)</f>
        <v>#REF!</v>
      </c>
      <c r="W74" s="67" t="e">
        <f t="shared" si="9"/>
        <v>#REF!</v>
      </c>
      <c r="X74" s="67" t="e">
        <f t="shared" si="10"/>
        <v>#REF!</v>
      </c>
      <c r="Y74" s="35" t="e">
        <f t="shared" si="11"/>
        <v>#REF!</v>
      </c>
    </row>
    <row r="75" spans="2:25" ht="26.5" customHeight="1">
      <c r="B75" s="34">
        <f t="shared" si="5"/>
        <v>63</v>
      </c>
      <c r="C75" s="40"/>
      <c r="D75" s="40"/>
      <c r="E75" s="41"/>
      <c r="F75" s="152"/>
      <c r="G75" s="37"/>
      <c r="H75" s="37"/>
      <c r="I75" s="132"/>
      <c r="J75" s="36"/>
      <c r="K75" s="45" t="e">
        <f>IF(V75=0,
    "판매가 없음",
    _xlfn.XLOOKUP(
        C75 &amp; "|" &amp; D75 &amp; "|" &amp; E75,#REF!,#REF!,
        "0"
    )
)</f>
        <v>#REF!</v>
      </c>
      <c r="L75" s="56" t="e">
        <f>_xlfn.XLOOKUP(
    C75 &amp; "|" &amp; D75 &amp; "|" &amp; E75,#REF!,#REF!,
   0
)</f>
        <v>#REF!</v>
      </c>
      <c r="M75" s="136" t="e">
        <f>_xlfn.XLOOKUP(
    C75 &amp; "|" &amp; D75 &amp; "|" &amp; E75,#REF!,#REF!,
   0
)</f>
        <v>#REF!</v>
      </c>
      <c r="N75" s="56" t="e">
        <f>_xlfn.XLOOKUP(
    C75 &amp; "|" &amp; D75 &amp; "|" &amp; E75,#REF!,#REF!,
   0
)</f>
        <v>#REF!</v>
      </c>
      <c r="O75" s="45" t="e">
        <f t="shared" si="6"/>
        <v>#REF!</v>
      </c>
      <c r="P75" s="45" t="e">
        <f>_xlfn.XLOOKUP(
    C75 &amp; "|" &amp; D75 &amp; "|" &amp; E75,#REF!,#REF!,
    "차열재 없음"
)</f>
        <v>#REF!</v>
      </c>
      <c r="Q75" s="45" t="e">
        <f>_xlfn.XLOOKUP(
    C75 &amp; "|" &amp; D75 &amp; "|" &amp; E75,#REF!,#REF!,
    "0"
)</f>
        <v>#REF!</v>
      </c>
      <c r="R75" s="45" t="e">
        <f>_xlfn.XLOOKUP(
    C75 &amp; "|" &amp; D75 &amp; "|" &amp; E75,#REF!,#REF!,
    "0"
)</f>
        <v>#REF!</v>
      </c>
      <c r="S75" s="45" t="e">
        <f t="shared" si="7"/>
        <v>#REF!</v>
      </c>
      <c r="T75" s="79" t="e">
        <f>_xlfn.XLOOKUP(
    C75 &amp; "|" &amp; D75 &amp; "|" &amp; E75,#REF!,#REF!,
    0
)</f>
        <v>#REF!</v>
      </c>
      <c r="U75" s="78" t="e">
        <f t="shared" si="8"/>
        <v>#REF!</v>
      </c>
      <c r="V75" s="67" t="e">
        <f>_xlfn.XLOOKUP(
    C75 &amp; "|" &amp; D75 &amp; "|" &amp; E75,#REF!,#REF!,
    0
)</f>
        <v>#REF!</v>
      </c>
      <c r="W75" s="67" t="e">
        <f t="shared" si="9"/>
        <v>#REF!</v>
      </c>
      <c r="X75" s="67" t="e">
        <f t="shared" si="10"/>
        <v>#REF!</v>
      </c>
      <c r="Y75" s="35" t="e">
        <f t="shared" si="11"/>
        <v>#REF!</v>
      </c>
    </row>
    <row r="76" spans="2:25" ht="26.5" customHeight="1">
      <c r="B76" s="34">
        <f t="shared" si="5"/>
        <v>64</v>
      </c>
      <c r="C76" s="40"/>
      <c r="D76" s="40"/>
      <c r="E76" s="41"/>
      <c r="F76" s="152"/>
      <c r="G76" s="37"/>
      <c r="H76" s="37"/>
      <c r="I76" s="132"/>
      <c r="J76" s="36"/>
      <c r="K76" s="45" t="e">
        <f>IF(V76=0,
    "판매가 없음",
    _xlfn.XLOOKUP(
        C76 &amp; "|" &amp; D76 &amp; "|" &amp; E76,#REF!,#REF!,
        "0"
    )
)</f>
        <v>#REF!</v>
      </c>
      <c r="L76" s="56" t="e">
        <f>_xlfn.XLOOKUP(
    C76 &amp; "|" &amp; D76 &amp; "|" &amp; E76,#REF!,#REF!,
   0
)</f>
        <v>#REF!</v>
      </c>
      <c r="M76" s="136" t="e">
        <f>_xlfn.XLOOKUP(
    C76 &amp; "|" &amp; D76 &amp; "|" &amp; E76,#REF!,#REF!,
   0
)</f>
        <v>#REF!</v>
      </c>
      <c r="N76" s="56" t="e">
        <f>_xlfn.XLOOKUP(
    C76 &amp; "|" &amp; D76 &amp; "|" &amp; E76,#REF!,#REF!,
   0
)</f>
        <v>#REF!</v>
      </c>
      <c r="O76" s="45" t="e">
        <f t="shared" si="6"/>
        <v>#REF!</v>
      </c>
      <c r="P76" s="45" t="e">
        <f>_xlfn.XLOOKUP(
    C76 &amp; "|" &amp; D76 &amp; "|" &amp; E76,#REF!,#REF!,
    "차열재 없음"
)</f>
        <v>#REF!</v>
      </c>
      <c r="Q76" s="45" t="e">
        <f>_xlfn.XLOOKUP(
    C76 &amp; "|" &amp; D76 &amp; "|" &amp; E76,#REF!,#REF!,
    "0"
)</f>
        <v>#REF!</v>
      </c>
      <c r="R76" s="45" t="e">
        <f>_xlfn.XLOOKUP(
    C76 &amp; "|" &amp; D76 &amp; "|" &amp; E76,#REF!,#REF!,
    "0"
)</f>
        <v>#REF!</v>
      </c>
      <c r="S76" s="45" t="e">
        <f t="shared" si="7"/>
        <v>#REF!</v>
      </c>
      <c r="T76" s="79" t="e">
        <f>_xlfn.XLOOKUP(
    C76 &amp; "|" &amp; D76 &amp; "|" &amp; E76,#REF!,#REF!,
    0
)</f>
        <v>#REF!</v>
      </c>
      <c r="U76" s="78" t="e">
        <f t="shared" si="8"/>
        <v>#REF!</v>
      </c>
      <c r="V76" s="67" t="e">
        <f>_xlfn.XLOOKUP(
    C76 &amp; "|" &amp; D76 &amp; "|" &amp; E76,#REF!,#REF!,
    0
)</f>
        <v>#REF!</v>
      </c>
      <c r="W76" s="67" t="e">
        <f t="shared" si="9"/>
        <v>#REF!</v>
      </c>
      <c r="X76" s="67" t="e">
        <f t="shared" si="10"/>
        <v>#REF!</v>
      </c>
      <c r="Y76" s="35" t="e">
        <f t="shared" si="11"/>
        <v>#REF!</v>
      </c>
    </row>
    <row r="77" spans="2:25" ht="26.5" customHeight="1">
      <c r="B77" s="34">
        <f t="shared" si="5"/>
        <v>65</v>
      </c>
      <c r="C77" s="40"/>
      <c r="D77" s="40"/>
      <c r="E77" s="41"/>
      <c r="F77" s="152"/>
      <c r="G77" s="37"/>
      <c r="H77" s="37"/>
      <c r="I77" s="132"/>
      <c r="J77" s="36"/>
      <c r="K77" s="45" t="e">
        <f>IF(V77=0,
    "판매가 없음",
    _xlfn.XLOOKUP(
        C77 &amp; "|" &amp; D77 &amp; "|" &amp; E77,#REF!,#REF!,
        "0"
    )
)</f>
        <v>#REF!</v>
      </c>
      <c r="L77" s="56" t="e">
        <f>_xlfn.XLOOKUP(
    C77 &amp; "|" &amp; D77 &amp; "|" &amp; E77,#REF!,#REF!,
   0
)</f>
        <v>#REF!</v>
      </c>
      <c r="M77" s="136" t="e">
        <f>_xlfn.XLOOKUP(
    C77 &amp; "|" &amp; D77 &amp; "|" &amp; E77,#REF!,#REF!,
   0
)</f>
        <v>#REF!</v>
      </c>
      <c r="N77" s="56" t="e">
        <f>_xlfn.XLOOKUP(
    C77 &amp; "|" &amp; D77 &amp; "|" &amp; E77,#REF!,#REF!,
   0
)</f>
        <v>#REF!</v>
      </c>
      <c r="O77" s="45" t="e">
        <f t="shared" si="6"/>
        <v>#REF!</v>
      </c>
      <c r="P77" s="45" t="e">
        <f>_xlfn.XLOOKUP(
    C77 &amp; "|" &amp; D77 &amp; "|" &amp; E77,#REF!,#REF!,
    "차열재 없음"
)</f>
        <v>#REF!</v>
      </c>
      <c r="Q77" s="45" t="e">
        <f>_xlfn.XLOOKUP(
    C77 &amp; "|" &amp; D77 &amp; "|" &amp; E77,#REF!,#REF!,
    "0"
)</f>
        <v>#REF!</v>
      </c>
      <c r="R77" s="45" t="e">
        <f>_xlfn.XLOOKUP(
    C77 &amp; "|" &amp; D77 &amp; "|" &amp; E77,#REF!,#REF!,
    "0"
)</f>
        <v>#REF!</v>
      </c>
      <c r="S77" s="45" t="e">
        <f t="shared" si="7"/>
        <v>#REF!</v>
      </c>
      <c r="T77" s="79" t="e">
        <f>_xlfn.XLOOKUP(
    C77 &amp; "|" &amp; D77 &amp; "|" &amp; E77,#REF!,#REF!,
    0
)</f>
        <v>#REF!</v>
      </c>
      <c r="U77" s="78" t="e">
        <f t="shared" si="8"/>
        <v>#REF!</v>
      </c>
      <c r="V77" s="67" t="e">
        <f>_xlfn.XLOOKUP(
    C77 &amp; "|" &amp; D77 &amp; "|" &amp; E77,#REF!,#REF!,
    0
)</f>
        <v>#REF!</v>
      </c>
      <c r="W77" s="67" t="e">
        <f t="shared" si="9"/>
        <v>#REF!</v>
      </c>
      <c r="X77" s="67" t="e">
        <f t="shared" si="10"/>
        <v>#REF!</v>
      </c>
      <c r="Y77" s="35" t="e">
        <f t="shared" si="11"/>
        <v>#REF!</v>
      </c>
    </row>
    <row r="78" spans="2:25" ht="26.5" customHeight="1">
      <c r="B78" s="34">
        <f t="shared" si="5"/>
        <v>66</v>
      </c>
      <c r="C78" s="40"/>
      <c r="D78" s="40"/>
      <c r="E78" s="41"/>
      <c r="F78" s="152"/>
      <c r="G78" s="37"/>
      <c r="H78" s="37"/>
      <c r="I78" s="132"/>
      <c r="J78" s="36"/>
      <c r="K78" s="45" t="e">
        <f>IF(V78=0,
    "판매가 없음",
    _xlfn.XLOOKUP(
        C78 &amp; "|" &amp; D78 &amp; "|" &amp; E78,#REF!,#REF!,
        "0"
    )
)</f>
        <v>#REF!</v>
      </c>
      <c r="L78" s="56" t="e">
        <f>_xlfn.XLOOKUP(
    C78 &amp; "|" &amp; D78 &amp; "|" &amp; E78,#REF!,#REF!,
   0
)</f>
        <v>#REF!</v>
      </c>
      <c r="M78" s="136" t="e">
        <f>_xlfn.XLOOKUP(
    C78 &amp; "|" &amp; D78 &amp; "|" &amp; E78,#REF!,#REF!,
   0
)</f>
        <v>#REF!</v>
      </c>
      <c r="N78" s="56" t="e">
        <f>_xlfn.XLOOKUP(
    C78 &amp; "|" &amp; D78 &amp; "|" &amp; E78,#REF!,#REF!,
   0
)</f>
        <v>#REF!</v>
      </c>
      <c r="O78" s="45" t="e">
        <f t="shared" si="6"/>
        <v>#REF!</v>
      </c>
      <c r="P78" s="45" t="e">
        <f>_xlfn.XLOOKUP(
    C78 &amp; "|" &amp; D78 &amp; "|" &amp; E78,#REF!,#REF!,
    "차열재 없음"
)</f>
        <v>#REF!</v>
      </c>
      <c r="Q78" s="45" t="e">
        <f>_xlfn.XLOOKUP(
    C78 &amp; "|" &amp; D78 &amp; "|" &amp; E78,#REF!,#REF!,
    "0"
)</f>
        <v>#REF!</v>
      </c>
      <c r="R78" s="45" t="e">
        <f>_xlfn.XLOOKUP(
    C78 &amp; "|" &amp; D78 &amp; "|" &amp; E78,#REF!,#REF!,
    "0"
)</f>
        <v>#REF!</v>
      </c>
      <c r="S78" s="45" t="e">
        <f t="shared" si="7"/>
        <v>#REF!</v>
      </c>
      <c r="T78" s="79" t="e">
        <f>_xlfn.XLOOKUP(
    C78 &amp; "|" &amp; D78 &amp; "|" &amp; E78,#REF!,#REF!,
    0
)</f>
        <v>#REF!</v>
      </c>
      <c r="U78" s="78" t="e">
        <f t="shared" si="8"/>
        <v>#REF!</v>
      </c>
      <c r="V78" s="67" t="e">
        <f>_xlfn.XLOOKUP(
    C78 &amp; "|" &amp; D78 &amp; "|" &amp; E78,#REF!,#REF!,
    0
)</f>
        <v>#REF!</v>
      </c>
      <c r="W78" s="67" t="e">
        <f t="shared" si="9"/>
        <v>#REF!</v>
      </c>
      <c r="X78" s="67" t="e">
        <f t="shared" si="10"/>
        <v>#REF!</v>
      </c>
      <c r="Y78" s="35" t="e">
        <f t="shared" si="11"/>
        <v>#REF!</v>
      </c>
    </row>
    <row r="79" spans="2:25" ht="26.5" customHeight="1">
      <c r="B79" s="34">
        <f t="shared" si="5"/>
        <v>67</v>
      </c>
      <c r="C79" s="40"/>
      <c r="D79" s="40"/>
      <c r="E79" s="41"/>
      <c r="F79" s="152"/>
      <c r="G79" s="37"/>
      <c r="H79" s="37"/>
      <c r="I79" s="132"/>
      <c r="J79" s="36"/>
      <c r="K79" s="45" t="e">
        <f>IF(V79=0,
    "판매가 없음",
    _xlfn.XLOOKUP(
        C79 &amp; "|" &amp; D79 &amp; "|" &amp; E79,#REF!,#REF!,
        "0"
    )
)</f>
        <v>#REF!</v>
      </c>
      <c r="L79" s="56" t="e">
        <f>_xlfn.XLOOKUP(
    C79 &amp; "|" &amp; D79 &amp; "|" &amp; E79,#REF!,#REF!,
   0
)</f>
        <v>#REF!</v>
      </c>
      <c r="M79" s="136" t="e">
        <f>_xlfn.XLOOKUP(
    C79 &amp; "|" &amp; D79 &amp; "|" &amp; E79,#REF!,#REF!,
   0
)</f>
        <v>#REF!</v>
      </c>
      <c r="N79" s="56" t="e">
        <f>_xlfn.XLOOKUP(
    C79 &amp; "|" &amp; D79 &amp; "|" &amp; E79,#REF!,#REF!,
   0
)</f>
        <v>#REF!</v>
      </c>
      <c r="O79" s="45" t="e">
        <f t="shared" si="6"/>
        <v>#REF!</v>
      </c>
      <c r="P79" s="45" t="e">
        <f>_xlfn.XLOOKUP(
    C79 &amp; "|" &amp; D79 &amp; "|" &amp; E79,#REF!,#REF!,
    "차열재 없음"
)</f>
        <v>#REF!</v>
      </c>
      <c r="Q79" s="45" t="e">
        <f>_xlfn.XLOOKUP(
    C79 &amp; "|" &amp; D79 &amp; "|" &amp; E79,#REF!,#REF!,
    "0"
)</f>
        <v>#REF!</v>
      </c>
      <c r="R79" s="45" t="e">
        <f>_xlfn.XLOOKUP(
    C79 &amp; "|" &amp; D79 &amp; "|" &amp; E79,#REF!,#REF!,
    "0"
)</f>
        <v>#REF!</v>
      </c>
      <c r="S79" s="45" t="e">
        <f t="shared" si="7"/>
        <v>#REF!</v>
      </c>
      <c r="T79" s="79" t="e">
        <f>_xlfn.XLOOKUP(
    C79 &amp; "|" &amp; D79 &amp; "|" &amp; E79,#REF!,#REF!,
    0
)</f>
        <v>#REF!</v>
      </c>
      <c r="U79" s="78" t="e">
        <f t="shared" si="8"/>
        <v>#REF!</v>
      </c>
      <c r="V79" s="67" t="e">
        <f>_xlfn.XLOOKUP(
    C79 &amp; "|" &amp; D79 &amp; "|" &amp; E79,#REF!,#REF!,
    0
)</f>
        <v>#REF!</v>
      </c>
      <c r="W79" s="67" t="e">
        <f t="shared" si="9"/>
        <v>#REF!</v>
      </c>
      <c r="X79" s="67" t="e">
        <f t="shared" si="10"/>
        <v>#REF!</v>
      </c>
      <c r="Y79" s="35" t="e">
        <f t="shared" si="11"/>
        <v>#REF!</v>
      </c>
    </row>
    <row r="80" spans="2:25" ht="26.5" customHeight="1">
      <c r="B80" s="34">
        <f t="shared" si="5"/>
        <v>68</v>
      </c>
      <c r="C80" s="40"/>
      <c r="D80" s="40"/>
      <c r="E80" s="41"/>
      <c r="F80" s="152"/>
      <c r="G80" s="37"/>
      <c r="H80" s="37"/>
      <c r="I80" s="132"/>
      <c r="J80" s="36"/>
      <c r="K80" s="45" t="e">
        <f>IF(V80=0,
    "판매가 없음",
    _xlfn.XLOOKUP(
        C80 &amp; "|" &amp; D80 &amp; "|" &amp; E80,#REF!,#REF!,
        "0"
    )
)</f>
        <v>#REF!</v>
      </c>
      <c r="L80" s="56" t="e">
        <f>_xlfn.XLOOKUP(
    C80 &amp; "|" &amp; D80 &amp; "|" &amp; E80,#REF!,#REF!,
   0
)</f>
        <v>#REF!</v>
      </c>
      <c r="M80" s="136" t="e">
        <f>_xlfn.XLOOKUP(
    C80 &amp; "|" &amp; D80 &amp; "|" &amp; E80,#REF!,#REF!,
   0
)</f>
        <v>#REF!</v>
      </c>
      <c r="N80" s="56" t="e">
        <f>_xlfn.XLOOKUP(
    C80 &amp; "|" &amp; D80 &amp; "|" &amp; E80,#REF!,#REF!,
   0
)</f>
        <v>#REF!</v>
      </c>
      <c r="O80" s="45" t="e">
        <f t="shared" ref="O80:O81" si="12">L80*I80</f>
        <v>#REF!</v>
      </c>
      <c r="P80" s="45" t="e">
        <f>_xlfn.XLOOKUP(
    C80 &amp; "|" &amp; D80 &amp; "|" &amp; E80,#REF!,#REF!,
    "차열재 없음"
)</f>
        <v>#REF!</v>
      </c>
      <c r="Q80" s="45" t="e">
        <f>_xlfn.XLOOKUP(
    C80 &amp; "|" &amp; D80 &amp; "|" &amp; E80,#REF!,#REF!,
    "0"
)</f>
        <v>#REF!</v>
      </c>
      <c r="R80" s="45" t="e">
        <f>_xlfn.XLOOKUP(
    C80 &amp; "|" &amp; D80 &amp; "|" &amp; E80,#REF!,#REF!,
    "0"
)</f>
        <v>#REF!</v>
      </c>
      <c r="S80" s="45" t="e">
        <f t="shared" ref="S80:S81" si="13">Q80*I80</f>
        <v>#REF!</v>
      </c>
      <c r="T80" s="79" t="e">
        <f>_xlfn.XLOOKUP(
    C80 &amp; "|" &amp; D80 &amp; "|" &amp; E80,#REF!,#REF!,
    0
)</f>
        <v>#REF!</v>
      </c>
      <c r="U80" s="78" t="e">
        <f t="shared" ref="U80:U81" si="14">V80+R80+N80</f>
        <v>#REF!</v>
      </c>
      <c r="V80" s="67" t="e">
        <f>_xlfn.XLOOKUP(
    C80 &amp; "|" &amp; D80 &amp; "|" &amp; E80,#REF!,#REF!,
    0
)</f>
        <v>#REF!</v>
      </c>
      <c r="W80" s="67" t="e">
        <f t="shared" ref="W80:W81" si="15">T80*I80</f>
        <v>#REF!</v>
      </c>
      <c r="X80" s="67" t="e">
        <f t="shared" ref="X80:X81" si="16">(V80+N80+R80)*I80</f>
        <v>#REF!</v>
      </c>
      <c r="Y80" s="35" t="e">
        <f t="shared" ref="Y80:Y81" si="17">V80*I80</f>
        <v>#REF!</v>
      </c>
    </row>
    <row r="81" spans="2:25" ht="26.5" customHeight="1">
      <c r="B81" s="34">
        <f t="shared" si="5"/>
        <v>69</v>
      </c>
      <c r="C81" s="40"/>
      <c r="D81" s="40"/>
      <c r="E81" s="41"/>
      <c r="F81" s="152"/>
      <c r="G81" s="37"/>
      <c r="H81" s="37"/>
      <c r="I81" s="132"/>
      <c r="J81" s="36"/>
      <c r="K81" s="45" t="e">
        <f>IF(V81=0,
    "판매가 없음",
    _xlfn.XLOOKUP(
        C81 &amp; "|" &amp; D81 &amp; "|" &amp; E81,#REF!,#REF!,
        "0"
    )
)</f>
        <v>#REF!</v>
      </c>
      <c r="L81" s="56" t="e">
        <f>_xlfn.XLOOKUP(
    C81 &amp; "|" &amp; D81 &amp; "|" &amp; E81,#REF!,#REF!,
   0
)</f>
        <v>#REF!</v>
      </c>
      <c r="M81" s="136" t="e">
        <f>_xlfn.XLOOKUP(
    C81 &amp; "|" &amp; D81 &amp; "|" &amp; E81,#REF!,#REF!,
   0
)</f>
        <v>#REF!</v>
      </c>
      <c r="N81" s="56" t="e">
        <f>_xlfn.XLOOKUP(
    C81 &amp; "|" &amp; D81 &amp; "|" &amp; E81,#REF!,#REF!,
   0
)</f>
        <v>#REF!</v>
      </c>
      <c r="O81" s="45" t="e">
        <f t="shared" si="12"/>
        <v>#REF!</v>
      </c>
      <c r="P81" s="45" t="e">
        <f>_xlfn.XLOOKUP(
    C81 &amp; "|" &amp; D81 &amp; "|" &amp; E81,#REF!,#REF!,
    "차열재 없음"
)</f>
        <v>#REF!</v>
      </c>
      <c r="Q81" s="45" t="e">
        <f>_xlfn.XLOOKUP(
    C81 &amp; "|" &amp; D81 &amp; "|" &amp; E81,#REF!,#REF!,
    "0"
)</f>
        <v>#REF!</v>
      </c>
      <c r="R81" s="45" t="e">
        <f>_xlfn.XLOOKUP(
    C81 &amp; "|" &amp; D81 &amp; "|" &amp; E81,#REF!,#REF!,
    "0"
)</f>
        <v>#REF!</v>
      </c>
      <c r="S81" s="45" t="e">
        <f t="shared" si="13"/>
        <v>#REF!</v>
      </c>
      <c r="T81" s="79" t="e">
        <f>_xlfn.XLOOKUP(
    C81 &amp; "|" &amp; D81 &amp; "|" &amp; E81,#REF!,#REF!,
    0
)</f>
        <v>#REF!</v>
      </c>
      <c r="U81" s="78" t="e">
        <f t="shared" si="14"/>
        <v>#REF!</v>
      </c>
      <c r="V81" s="67" t="e">
        <f>_xlfn.XLOOKUP(
    C81 &amp; "|" &amp; D81 &amp; "|" &amp; E81,#REF!,#REF!,
    0
)</f>
        <v>#REF!</v>
      </c>
      <c r="W81" s="67" t="e">
        <f t="shared" si="15"/>
        <v>#REF!</v>
      </c>
      <c r="X81" s="67" t="e">
        <f t="shared" si="16"/>
        <v>#REF!</v>
      </c>
      <c r="Y81" s="35" t="e">
        <f t="shared" si="17"/>
        <v>#REF!</v>
      </c>
    </row>
    <row r="82" spans="2:25" ht="26.5" customHeight="1">
      <c r="B82" s="34">
        <f t="shared" si="5"/>
        <v>70</v>
      </c>
      <c r="C82" s="40"/>
      <c r="D82" s="40"/>
      <c r="E82" s="41"/>
      <c r="F82" s="152"/>
      <c r="G82" s="37"/>
      <c r="H82" s="37"/>
      <c r="I82" s="132"/>
      <c r="J82" s="36"/>
      <c r="K82" s="45"/>
      <c r="L82" s="56"/>
      <c r="M82" s="136"/>
      <c r="N82" s="56"/>
      <c r="O82" s="45"/>
      <c r="P82" s="45"/>
      <c r="Q82" s="45"/>
      <c r="R82" s="45"/>
      <c r="S82" s="45"/>
      <c r="T82" s="79"/>
      <c r="U82" s="78"/>
      <c r="V82" s="67"/>
      <c r="W82" s="67"/>
      <c r="X82" s="67"/>
      <c r="Y82" s="35"/>
    </row>
    <row r="83" spans="2:25" ht="26.5" customHeight="1">
      <c r="B83" s="34">
        <f t="shared" si="5"/>
        <v>71</v>
      </c>
      <c r="C83" s="40"/>
      <c r="D83" s="40"/>
      <c r="E83" s="41"/>
      <c r="F83" s="152"/>
      <c r="G83" s="37"/>
      <c r="H83" s="37"/>
      <c r="I83" s="132"/>
      <c r="J83" s="36"/>
      <c r="K83" s="45"/>
      <c r="L83" s="56"/>
      <c r="M83" s="136"/>
      <c r="N83" s="56"/>
      <c r="O83" s="45"/>
      <c r="P83" s="45"/>
      <c r="Q83" s="45"/>
      <c r="R83" s="45"/>
      <c r="S83" s="45"/>
      <c r="T83" s="79"/>
      <c r="U83" s="78"/>
      <c r="V83" s="67"/>
      <c r="W83" s="67"/>
      <c r="X83" s="67"/>
      <c r="Y83" s="35"/>
    </row>
    <row r="84" spans="2:25" ht="26.5" customHeight="1">
      <c r="B84" s="34">
        <f t="shared" si="5"/>
        <v>72</v>
      </c>
      <c r="C84" s="40"/>
      <c r="D84" s="40"/>
      <c r="E84" s="41"/>
      <c r="F84" s="152"/>
      <c r="G84" s="37"/>
      <c r="H84" s="37"/>
      <c r="I84" s="132"/>
      <c r="J84" s="36"/>
      <c r="K84" s="45"/>
      <c r="L84" s="56"/>
      <c r="M84" s="136"/>
      <c r="N84" s="56"/>
      <c r="O84" s="45"/>
      <c r="P84" s="45"/>
      <c r="Q84" s="45"/>
      <c r="R84" s="45"/>
      <c r="S84" s="45"/>
      <c r="T84" s="79"/>
      <c r="U84" s="78"/>
      <c r="V84" s="67"/>
      <c r="W84" s="67"/>
      <c r="X84" s="67"/>
      <c r="Y84" s="35"/>
    </row>
    <row r="85" spans="2:25" ht="26.5" customHeight="1">
      <c r="B85" s="34">
        <f t="shared" si="5"/>
        <v>73</v>
      </c>
      <c r="C85" s="40"/>
      <c r="D85" s="40"/>
      <c r="E85" s="41"/>
      <c r="F85" s="152"/>
      <c r="G85" s="37"/>
      <c r="H85" s="37"/>
      <c r="I85" s="132"/>
      <c r="J85" s="36"/>
      <c r="K85" s="45"/>
      <c r="L85" s="56"/>
      <c r="M85" s="136"/>
      <c r="N85" s="56"/>
      <c r="O85" s="45"/>
      <c r="P85" s="45"/>
      <c r="Q85" s="45"/>
      <c r="R85" s="45"/>
      <c r="S85" s="45"/>
      <c r="T85" s="79"/>
      <c r="U85" s="78"/>
      <c r="V85" s="67"/>
      <c r="W85" s="67"/>
      <c r="X85" s="67"/>
      <c r="Y85" s="35"/>
    </row>
    <row r="86" spans="2:25" ht="26.5" customHeight="1">
      <c r="B86" s="34">
        <f t="shared" si="5"/>
        <v>74</v>
      </c>
      <c r="C86" s="40"/>
      <c r="D86" s="40"/>
      <c r="E86" s="41"/>
      <c r="F86" s="152"/>
      <c r="G86" s="37"/>
      <c r="H86" s="37"/>
      <c r="I86" s="132"/>
      <c r="J86" s="36"/>
      <c r="K86" s="45"/>
      <c r="L86" s="56"/>
      <c r="M86" s="136"/>
      <c r="N86" s="56"/>
      <c r="O86" s="45"/>
      <c r="P86" s="45"/>
      <c r="Q86" s="45"/>
      <c r="R86" s="45"/>
      <c r="S86" s="45"/>
      <c r="T86" s="79"/>
      <c r="U86" s="78"/>
      <c r="V86" s="67"/>
      <c r="W86" s="67"/>
      <c r="X86" s="67"/>
      <c r="Y86" s="35"/>
    </row>
    <row r="87" spans="2:25" ht="26.5" customHeight="1">
      <c r="B87" s="34">
        <f t="shared" si="5"/>
        <v>75</v>
      </c>
      <c r="C87" s="40"/>
      <c r="D87" s="40"/>
      <c r="E87" s="41"/>
      <c r="F87" s="152"/>
      <c r="G87" s="37"/>
      <c r="H87" s="37"/>
      <c r="I87" s="132"/>
      <c r="J87" s="36"/>
      <c r="K87" s="45"/>
      <c r="L87" s="56"/>
      <c r="M87" s="136"/>
      <c r="N87" s="56"/>
      <c r="O87" s="45"/>
      <c r="P87" s="45"/>
      <c r="Q87" s="45"/>
      <c r="R87" s="45"/>
      <c r="S87" s="45"/>
      <c r="T87" s="79"/>
      <c r="U87" s="78"/>
      <c r="V87" s="67"/>
      <c r="W87" s="67"/>
      <c r="X87" s="67"/>
      <c r="Y87" s="35"/>
    </row>
    <row r="88" spans="2:25" ht="26.5" customHeight="1">
      <c r="B88" s="34">
        <f t="shared" si="5"/>
        <v>76</v>
      </c>
      <c r="C88" s="40"/>
      <c r="D88" s="40"/>
      <c r="E88" s="41"/>
      <c r="F88" s="152"/>
      <c r="G88" s="37"/>
      <c r="H88" s="37"/>
      <c r="I88" s="132"/>
      <c r="J88" s="36"/>
      <c r="K88" s="45"/>
      <c r="L88" s="56"/>
      <c r="M88" s="136"/>
      <c r="N88" s="56"/>
      <c r="O88" s="45"/>
      <c r="P88" s="45"/>
      <c r="Q88" s="45"/>
      <c r="R88" s="45"/>
      <c r="S88" s="45"/>
      <c r="T88" s="79"/>
      <c r="U88" s="78"/>
      <c r="V88" s="67"/>
      <c r="W88" s="67"/>
      <c r="X88" s="67"/>
      <c r="Y88" s="35"/>
    </row>
    <row r="89" spans="2:25" ht="26.5" customHeight="1">
      <c r="B89" s="34">
        <f t="shared" si="5"/>
        <v>77</v>
      </c>
      <c r="C89" s="40"/>
      <c r="D89" s="40"/>
      <c r="E89" s="41"/>
      <c r="F89" s="152"/>
      <c r="G89" s="37"/>
      <c r="H89" s="37"/>
      <c r="I89" s="132"/>
      <c r="J89" s="36"/>
      <c r="K89" s="45"/>
      <c r="L89" s="56"/>
      <c r="M89" s="136"/>
      <c r="N89" s="56"/>
      <c r="O89" s="45"/>
      <c r="P89" s="45"/>
      <c r="Q89" s="45"/>
      <c r="R89" s="45"/>
      <c r="S89" s="45"/>
      <c r="T89" s="79"/>
      <c r="U89" s="78"/>
      <c r="V89" s="67"/>
      <c r="W89" s="67"/>
      <c r="X89" s="67"/>
      <c r="Y89" s="35"/>
    </row>
    <row r="90" spans="2:25" ht="26.5" customHeight="1">
      <c r="B90" s="34">
        <f t="shared" si="5"/>
        <v>78</v>
      </c>
      <c r="C90" s="40"/>
      <c r="D90" s="40"/>
      <c r="E90" s="41"/>
      <c r="F90" s="152"/>
      <c r="G90" s="37"/>
      <c r="H90" s="37"/>
      <c r="I90" s="132"/>
      <c r="J90" s="36"/>
      <c r="K90" s="45"/>
      <c r="L90" s="56"/>
      <c r="M90" s="136"/>
      <c r="N90" s="56"/>
      <c r="O90" s="45"/>
      <c r="P90" s="45"/>
      <c r="Q90" s="45"/>
      <c r="R90" s="45"/>
      <c r="S90" s="45"/>
      <c r="T90" s="79"/>
      <c r="U90" s="78"/>
      <c r="V90" s="67"/>
      <c r="W90" s="67"/>
      <c r="X90" s="67"/>
      <c r="Y90" s="35"/>
    </row>
    <row r="91" spans="2:25" ht="26.5" customHeight="1">
      <c r="B91" s="34">
        <f t="shared" si="5"/>
        <v>79</v>
      </c>
      <c r="C91" s="40"/>
      <c r="D91" s="40"/>
      <c r="E91" s="41"/>
      <c r="F91" s="152"/>
      <c r="G91" s="37"/>
      <c r="H91" s="37"/>
      <c r="I91" s="132"/>
      <c r="J91" s="36"/>
      <c r="K91" s="45"/>
      <c r="L91" s="56"/>
      <c r="M91" s="136"/>
      <c r="N91" s="56"/>
      <c r="O91" s="45"/>
      <c r="P91" s="45"/>
      <c r="Q91" s="45"/>
      <c r="R91" s="45"/>
      <c r="S91" s="45"/>
      <c r="T91" s="79"/>
      <c r="U91" s="78"/>
      <c r="V91" s="67"/>
      <c r="W91" s="67"/>
      <c r="X91" s="67"/>
      <c r="Y91" s="35"/>
    </row>
    <row r="92" spans="2:25" ht="26.5" customHeight="1">
      <c r="B92" s="34">
        <f t="shared" si="5"/>
        <v>80</v>
      </c>
      <c r="C92" s="40"/>
      <c r="D92" s="40"/>
      <c r="E92" s="41"/>
      <c r="F92" s="152"/>
      <c r="G92" s="37"/>
      <c r="H92" s="37"/>
      <c r="I92" s="132"/>
      <c r="J92" s="36"/>
      <c r="K92" s="45"/>
      <c r="L92" s="56"/>
      <c r="M92" s="136"/>
      <c r="N92" s="56"/>
      <c r="O92" s="45"/>
      <c r="P92" s="45"/>
      <c r="Q92" s="45"/>
      <c r="R92" s="45"/>
      <c r="S92" s="45"/>
      <c r="T92" s="79"/>
      <c r="U92" s="78"/>
      <c r="V92" s="67"/>
      <c r="W92" s="67"/>
      <c r="X92" s="67"/>
      <c r="Y92" s="35"/>
    </row>
    <row r="93" spans="2:25" ht="26.5" customHeight="1">
      <c r="B93" s="34">
        <f t="shared" si="5"/>
        <v>81</v>
      </c>
      <c r="C93" s="40"/>
      <c r="D93" s="40"/>
      <c r="E93" s="41"/>
      <c r="F93" s="152"/>
      <c r="G93" s="37"/>
      <c r="H93" s="37"/>
      <c r="I93" s="132"/>
      <c r="J93" s="36"/>
      <c r="K93" s="45"/>
      <c r="L93" s="56"/>
      <c r="M93" s="136"/>
      <c r="N93" s="56"/>
      <c r="O93" s="45"/>
      <c r="P93" s="45"/>
      <c r="Q93" s="45"/>
      <c r="R93" s="45"/>
      <c r="S93" s="45"/>
      <c r="T93" s="79"/>
      <c r="U93" s="78"/>
      <c r="V93" s="67"/>
      <c r="W93" s="67"/>
      <c r="X93" s="67"/>
      <c r="Y93" s="35"/>
    </row>
    <row r="94" spans="2:25" ht="26.5" customHeight="1">
      <c r="B94" s="34">
        <f t="shared" si="5"/>
        <v>82</v>
      </c>
      <c r="C94" s="40"/>
      <c r="D94" s="40"/>
      <c r="E94" s="41"/>
      <c r="F94" s="152"/>
      <c r="G94" s="37"/>
      <c r="H94" s="37"/>
      <c r="I94" s="132"/>
      <c r="J94" s="36"/>
      <c r="K94" s="45"/>
      <c r="L94" s="56"/>
      <c r="M94" s="136"/>
      <c r="N94" s="56"/>
      <c r="O94" s="45"/>
      <c r="P94" s="45"/>
      <c r="Q94" s="45"/>
      <c r="R94" s="45"/>
      <c r="S94" s="45"/>
      <c r="T94" s="79"/>
      <c r="U94" s="78"/>
      <c r="V94" s="67"/>
      <c r="W94" s="67"/>
      <c r="X94" s="67"/>
      <c r="Y94" s="35"/>
    </row>
    <row r="95" spans="2:25" ht="26.5" customHeight="1">
      <c r="B95" s="34">
        <f t="shared" si="5"/>
        <v>83</v>
      </c>
      <c r="C95" s="40"/>
      <c r="D95" s="40"/>
      <c r="E95" s="41"/>
      <c r="F95" s="152"/>
      <c r="G95" s="37"/>
      <c r="H95" s="37"/>
      <c r="I95" s="132"/>
      <c r="J95" s="36"/>
      <c r="K95" s="45"/>
      <c r="L95" s="56"/>
      <c r="M95" s="136"/>
      <c r="N95" s="56"/>
      <c r="O95" s="45"/>
      <c r="P95" s="45"/>
      <c r="Q95" s="45"/>
      <c r="R95" s="45"/>
      <c r="S95" s="45"/>
      <c r="T95" s="79"/>
      <c r="U95" s="78"/>
      <c r="V95" s="67"/>
      <c r="W95" s="67"/>
      <c r="X95" s="67"/>
      <c r="Y95" s="35"/>
    </row>
    <row r="96" spans="2:25" ht="26.5" customHeight="1">
      <c r="B96" s="34">
        <f t="shared" si="5"/>
        <v>84</v>
      </c>
      <c r="C96" s="40"/>
      <c r="D96" s="40"/>
      <c r="E96" s="41"/>
      <c r="F96" s="152"/>
      <c r="G96" s="37"/>
      <c r="H96" s="37"/>
      <c r="I96" s="132"/>
      <c r="J96" s="36"/>
      <c r="K96" s="45"/>
      <c r="L96" s="56"/>
      <c r="M96" s="136"/>
      <c r="N96" s="56"/>
      <c r="O96" s="45"/>
      <c r="P96" s="45"/>
      <c r="Q96" s="45"/>
      <c r="R96" s="45"/>
      <c r="S96" s="45"/>
      <c r="T96" s="79"/>
      <c r="U96" s="78"/>
      <c r="V96" s="67"/>
      <c r="W96" s="67"/>
      <c r="X96" s="67"/>
      <c r="Y96" s="35"/>
    </row>
    <row r="97" spans="2:25" ht="26.5" customHeight="1">
      <c r="B97" s="34">
        <f t="shared" si="5"/>
        <v>85</v>
      </c>
      <c r="C97" s="40"/>
      <c r="D97" s="40"/>
      <c r="E97" s="41"/>
      <c r="F97" s="152"/>
      <c r="G97" s="37"/>
      <c r="H97" s="37"/>
      <c r="I97" s="132"/>
      <c r="J97" s="36"/>
      <c r="K97" s="45"/>
      <c r="L97" s="56"/>
      <c r="M97" s="136"/>
      <c r="N97" s="56"/>
      <c r="O97" s="45"/>
      <c r="P97" s="45"/>
      <c r="Q97" s="45"/>
      <c r="R97" s="45"/>
      <c r="S97" s="45"/>
      <c r="T97" s="79"/>
      <c r="U97" s="78"/>
      <c r="V97" s="67"/>
      <c r="W97" s="67"/>
      <c r="X97" s="67"/>
      <c r="Y97" s="35"/>
    </row>
    <row r="98" spans="2:25" ht="26.5" customHeight="1">
      <c r="B98" s="34">
        <f t="shared" si="5"/>
        <v>86</v>
      </c>
      <c r="C98" s="40"/>
      <c r="D98" s="40"/>
      <c r="E98" s="41"/>
      <c r="F98" s="152"/>
      <c r="G98" s="37"/>
      <c r="H98" s="37"/>
      <c r="I98" s="132"/>
      <c r="J98" s="36"/>
      <c r="K98" s="45"/>
      <c r="L98" s="56"/>
      <c r="M98" s="136"/>
      <c r="N98" s="56"/>
      <c r="O98" s="45"/>
      <c r="P98" s="45"/>
      <c r="Q98" s="45"/>
      <c r="R98" s="45"/>
      <c r="S98" s="45"/>
      <c r="T98" s="79"/>
      <c r="U98" s="78"/>
      <c r="V98" s="67"/>
      <c r="W98" s="67"/>
      <c r="X98" s="67"/>
      <c r="Y98" s="35"/>
    </row>
    <row r="99" spans="2:25" ht="26.5" customHeight="1">
      <c r="B99" s="34">
        <f t="shared" si="5"/>
        <v>87</v>
      </c>
      <c r="C99" s="40"/>
      <c r="D99" s="40"/>
      <c r="E99" s="41"/>
      <c r="F99" s="152"/>
      <c r="G99" s="36"/>
      <c r="H99" s="37"/>
      <c r="I99" s="86"/>
      <c r="J99" s="77"/>
      <c r="K99" s="45"/>
      <c r="L99" s="56"/>
      <c r="M99" s="136"/>
      <c r="N99" s="56"/>
      <c r="O99" s="45"/>
      <c r="P99" s="45"/>
      <c r="Q99" s="45"/>
      <c r="R99" s="45"/>
      <c r="S99" s="45"/>
      <c r="T99" s="66"/>
      <c r="U99" s="67"/>
      <c r="V99" s="67"/>
      <c r="W99" s="67"/>
      <c r="X99" s="67"/>
      <c r="Y99" s="35"/>
    </row>
    <row r="100" spans="2:25" ht="26.5" customHeight="1">
      <c r="B100" s="34">
        <f t="shared" si="5"/>
        <v>88</v>
      </c>
      <c r="C100" s="40"/>
      <c r="D100" s="40"/>
      <c r="E100" s="41"/>
      <c r="F100" s="152"/>
      <c r="G100" s="36"/>
      <c r="H100" s="37"/>
      <c r="I100" s="61"/>
      <c r="J100" s="39"/>
      <c r="K100" s="45"/>
      <c r="L100" s="56"/>
      <c r="M100" s="136"/>
      <c r="N100" s="56"/>
      <c r="O100" s="45"/>
      <c r="P100" s="45"/>
      <c r="Q100" s="45"/>
      <c r="R100" s="45"/>
      <c r="S100" s="45"/>
      <c r="T100" s="66"/>
      <c r="U100" s="67"/>
      <c r="V100" s="67"/>
      <c r="W100" s="67"/>
      <c r="X100" s="67"/>
      <c r="Y100" s="35"/>
    </row>
    <row r="101" spans="2:25" ht="26.5" customHeight="1">
      <c r="B101" s="34">
        <f t="shared" si="5"/>
        <v>89</v>
      </c>
      <c r="C101" s="64" t="s">
        <v>57</v>
      </c>
      <c r="D101" s="40"/>
      <c r="E101" s="41"/>
      <c r="F101" s="152"/>
      <c r="G101" s="36"/>
      <c r="H101" s="37"/>
      <c r="I101" s="61"/>
      <c r="J101" s="39"/>
      <c r="K101" s="45"/>
      <c r="L101" s="56"/>
      <c r="M101" s="136"/>
      <c r="N101" s="56"/>
      <c r="O101" s="45"/>
      <c r="P101" s="45"/>
      <c r="Q101" s="45"/>
      <c r="R101" s="45"/>
      <c r="S101" s="45"/>
      <c r="T101" s="66"/>
      <c r="U101" s="67"/>
      <c r="V101" s="67"/>
      <c r="W101" s="67"/>
      <c r="X101" s="67"/>
      <c r="Y101" s="35"/>
    </row>
    <row r="102" spans="2:25" ht="26.5" customHeight="1">
      <c r="B102" s="34">
        <f t="shared" si="5"/>
        <v>90</v>
      </c>
      <c r="C102" s="40" t="s">
        <v>86</v>
      </c>
      <c r="D102" s="40"/>
      <c r="E102" s="41"/>
      <c r="F102" s="152"/>
      <c r="G102" s="36"/>
      <c r="H102" s="37" t="s">
        <v>60</v>
      </c>
      <c r="I102" s="61">
        <f t="shared" ref="I102:I109" si="18">_xlfn.XLOOKUP(C102, $B$120:$B$127, $E$120:$E$127, "")</f>
        <v>0</v>
      </c>
      <c r="J102" s="39"/>
      <c r="K102" s="45"/>
      <c r="L102" s="56"/>
      <c r="M102" s="136"/>
      <c r="N102" s="56"/>
      <c r="O102" s="45"/>
      <c r="P102" s="45"/>
      <c r="Q102" s="45"/>
      <c r="R102" s="45"/>
      <c r="S102" s="45"/>
      <c r="T102" s="66" t="e">
        <f>#REF!</f>
        <v>#REF!</v>
      </c>
      <c r="U102" s="67"/>
      <c r="V102" s="67" t="e">
        <f>#REF!</f>
        <v>#REF!</v>
      </c>
      <c r="W102" s="67" t="e">
        <f t="shared" ref="W102:W104" si="19">T102*I102</f>
        <v>#REF!</v>
      </c>
      <c r="X102" s="67"/>
      <c r="Y102" s="35" t="e">
        <f t="shared" ref="Y102:Y104" si="20">V102*I102</f>
        <v>#REF!</v>
      </c>
    </row>
    <row r="103" spans="2:25" ht="26.5" customHeight="1">
      <c r="B103" s="34">
        <f t="shared" si="5"/>
        <v>91</v>
      </c>
      <c r="C103" s="40" t="s">
        <v>81</v>
      </c>
      <c r="D103" s="40"/>
      <c r="E103" s="41"/>
      <c r="F103" s="36"/>
      <c r="G103" s="36"/>
      <c r="H103" s="37" t="s">
        <v>60</v>
      </c>
      <c r="I103" s="61">
        <f t="shared" si="18"/>
        <v>0</v>
      </c>
      <c r="J103" s="77"/>
      <c r="K103" s="45"/>
      <c r="L103" s="56"/>
      <c r="M103" s="136"/>
      <c r="N103" s="56"/>
      <c r="O103" s="45"/>
      <c r="P103" s="45"/>
      <c r="Q103" s="45"/>
      <c r="R103" s="45"/>
      <c r="S103" s="45"/>
      <c r="T103" s="66" t="e">
        <f>#REF!</f>
        <v>#REF!</v>
      </c>
      <c r="U103" s="67"/>
      <c r="V103" s="67" t="e">
        <f>#REF!</f>
        <v>#REF!</v>
      </c>
      <c r="W103" s="67" t="e">
        <f t="shared" si="19"/>
        <v>#REF!</v>
      </c>
      <c r="X103" s="67"/>
      <c r="Y103" s="35" t="e">
        <f t="shared" si="20"/>
        <v>#REF!</v>
      </c>
    </row>
    <row r="104" spans="2:25" ht="26.5" customHeight="1">
      <c r="B104" s="34">
        <f t="shared" si="5"/>
        <v>92</v>
      </c>
      <c r="C104" s="40" t="s">
        <v>83</v>
      </c>
      <c r="D104" s="40"/>
      <c r="E104" s="41"/>
      <c r="F104" s="36"/>
      <c r="G104" s="36"/>
      <c r="H104" s="37" t="s">
        <v>60</v>
      </c>
      <c r="I104" s="61">
        <f t="shared" si="18"/>
        <v>0</v>
      </c>
      <c r="J104" s="77"/>
      <c r="K104" s="45"/>
      <c r="L104" s="56"/>
      <c r="M104" s="136"/>
      <c r="N104" s="56"/>
      <c r="O104" s="45"/>
      <c r="P104" s="45"/>
      <c r="Q104" s="45"/>
      <c r="R104" s="45"/>
      <c r="S104" s="45"/>
      <c r="T104" s="66" t="e">
        <f>#REF!</f>
        <v>#REF!</v>
      </c>
      <c r="U104" s="67"/>
      <c r="V104" s="67" t="e">
        <f>#REF!</f>
        <v>#REF!</v>
      </c>
      <c r="W104" s="67" t="e">
        <f t="shared" si="19"/>
        <v>#REF!</v>
      </c>
      <c r="X104" s="67"/>
      <c r="Y104" s="35" t="e">
        <f t="shared" si="20"/>
        <v>#REF!</v>
      </c>
    </row>
    <row r="105" spans="2:25" ht="26.5" customHeight="1">
      <c r="B105" s="34">
        <f t="shared" si="5"/>
        <v>93</v>
      </c>
      <c r="C105" s="40" t="s">
        <v>85</v>
      </c>
      <c r="D105" s="40"/>
      <c r="E105" s="41"/>
      <c r="F105" s="36"/>
      <c r="G105" s="36"/>
      <c r="H105" s="37" t="s">
        <v>60</v>
      </c>
      <c r="I105" s="61">
        <f t="shared" si="18"/>
        <v>0</v>
      </c>
      <c r="J105" s="77"/>
      <c r="K105" s="45"/>
      <c r="L105" s="56"/>
      <c r="M105" s="136"/>
      <c r="N105" s="56"/>
      <c r="O105" s="45"/>
      <c r="P105" s="45"/>
      <c r="Q105" s="45"/>
      <c r="R105" s="45"/>
      <c r="S105" s="45"/>
      <c r="T105" s="66" t="e">
        <f>#REF!</f>
        <v>#REF!</v>
      </c>
      <c r="U105" s="67"/>
      <c r="V105" s="67" t="e">
        <f>#REF!</f>
        <v>#REF!</v>
      </c>
      <c r="W105" s="67"/>
      <c r="X105" s="67"/>
      <c r="Y105" s="35"/>
    </row>
    <row r="106" spans="2:25" ht="26.5" customHeight="1">
      <c r="B106" s="34">
        <f t="shared" si="5"/>
        <v>94</v>
      </c>
      <c r="C106" s="40" t="s">
        <v>64</v>
      </c>
      <c r="D106" s="40"/>
      <c r="E106" s="41"/>
      <c r="F106" s="36"/>
      <c r="G106" s="36"/>
      <c r="H106" s="37" t="s">
        <v>60</v>
      </c>
      <c r="I106" s="61">
        <f t="shared" si="18"/>
        <v>0</v>
      </c>
      <c r="J106" s="77"/>
      <c r="K106" s="45"/>
      <c r="L106" s="56"/>
      <c r="M106" s="136"/>
      <c r="N106" s="56"/>
      <c r="O106" s="45"/>
      <c r="P106" s="45"/>
      <c r="Q106" s="45"/>
      <c r="R106" s="45"/>
      <c r="S106" s="45"/>
      <c r="T106" s="66" t="e">
        <f>#REF!</f>
        <v>#REF!</v>
      </c>
      <c r="U106" s="67"/>
      <c r="V106" s="67" t="e">
        <f>#REF!</f>
        <v>#REF!</v>
      </c>
      <c r="W106" s="67"/>
      <c r="X106" s="67"/>
      <c r="Y106" s="35"/>
    </row>
    <row r="107" spans="2:25" ht="26.5" customHeight="1">
      <c r="B107" s="34">
        <f t="shared" si="5"/>
        <v>95</v>
      </c>
      <c r="C107" s="40" t="s">
        <v>141</v>
      </c>
      <c r="D107" s="40"/>
      <c r="E107" s="41"/>
      <c r="F107" s="36"/>
      <c r="G107" s="36"/>
      <c r="H107" s="37" t="s">
        <v>122</v>
      </c>
      <c r="I107" s="61">
        <f t="shared" si="18"/>
        <v>0</v>
      </c>
      <c r="J107" s="170"/>
      <c r="K107" s="45"/>
      <c r="L107" s="56"/>
      <c r="M107" s="136"/>
      <c r="N107" s="56"/>
      <c r="O107" s="45"/>
      <c r="P107" s="45"/>
      <c r="Q107" s="45"/>
      <c r="R107" s="45"/>
      <c r="S107" s="45"/>
      <c r="T107" s="66"/>
      <c r="U107" s="67"/>
      <c r="V107" s="67"/>
      <c r="W107" s="67"/>
      <c r="X107" s="67"/>
      <c r="Y107" s="35"/>
    </row>
    <row r="108" spans="2:25" ht="26.5" customHeight="1">
      <c r="B108" s="34">
        <f t="shared" ref="B108:B109" si="21">B107+1</f>
        <v>96</v>
      </c>
      <c r="C108" s="40" t="s">
        <v>142</v>
      </c>
      <c r="D108" s="40"/>
      <c r="E108" s="41"/>
      <c r="F108" s="36"/>
      <c r="G108" s="36"/>
      <c r="H108" s="37" t="s">
        <v>122</v>
      </c>
      <c r="I108" s="61">
        <f t="shared" si="18"/>
        <v>0</v>
      </c>
      <c r="J108" s="170"/>
      <c r="K108" s="45"/>
      <c r="L108" s="56"/>
      <c r="M108" s="136"/>
      <c r="N108" s="56"/>
      <c r="O108" s="45"/>
      <c r="P108" s="45"/>
      <c r="Q108" s="45"/>
      <c r="R108" s="45"/>
      <c r="S108" s="45"/>
      <c r="T108" s="66"/>
      <c r="U108" s="67"/>
      <c r="V108" s="67"/>
      <c r="W108" s="67"/>
      <c r="X108" s="67"/>
      <c r="Y108" s="35"/>
    </row>
    <row r="109" spans="2:25" ht="26.5" customHeight="1">
      <c r="B109" s="34">
        <f t="shared" si="21"/>
        <v>97</v>
      </c>
      <c r="C109" s="40" t="s">
        <v>67</v>
      </c>
      <c r="D109" s="40"/>
      <c r="E109" s="41"/>
      <c r="F109" s="36"/>
      <c r="G109" s="36"/>
      <c r="H109" s="37" t="s">
        <v>60</v>
      </c>
      <c r="I109" s="61" t="e">
        <f t="shared" si="18"/>
        <v>#REF!</v>
      </c>
      <c r="J109" s="39"/>
      <c r="K109" s="45"/>
      <c r="L109" s="56"/>
      <c r="M109" s="136"/>
      <c r="N109" s="56"/>
      <c r="O109" s="45"/>
      <c r="P109" s="45"/>
      <c r="Q109" s="45"/>
      <c r="R109" s="45"/>
      <c r="S109" s="45"/>
      <c r="T109" s="66" t="e">
        <f>#REF!</f>
        <v>#REF!</v>
      </c>
      <c r="U109" s="67"/>
      <c r="V109" s="67" t="e">
        <f>#REF!</f>
        <v>#REF!</v>
      </c>
      <c r="W109" s="67"/>
      <c r="X109" s="67"/>
      <c r="Y109" s="35"/>
    </row>
    <row r="110" spans="2:25" ht="26" customHeight="1">
      <c r="B110" s="33"/>
      <c r="C110" s="40"/>
      <c r="D110" s="40"/>
      <c r="E110" s="41"/>
      <c r="F110" s="36"/>
      <c r="G110" s="36"/>
      <c r="H110" s="38"/>
      <c r="I110" s="61"/>
      <c r="J110" s="39"/>
      <c r="K110" s="45"/>
      <c r="L110" s="56"/>
      <c r="M110" s="136"/>
      <c r="N110" s="56"/>
      <c r="O110" s="45"/>
      <c r="P110" s="45"/>
      <c r="Q110" s="45"/>
      <c r="R110" s="45"/>
      <c r="S110" s="45"/>
      <c r="T110" s="66"/>
      <c r="U110" s="67"/>
      <c r="V110" s="67"/>
      <c r="W110" s="67"/>
      <c r="X110" s="67"/>
      <c r="Y110" s="35"/>
    </row>
    <row r="111" spans="2:25" ht="26" customHeight="1">
      <c r="B111" s="33"/>
      <c r="C111" s="40"/>
      <c r="D111" s="40"/>
      <c r="E111" s="41"/>
      <c r="F111" s="36"/>
      <c r="G111" s="36"/>
      <c r="H111" s="38"/>
      <c r="I111" s="61"/>
      <c r="J111" s="39"/>
      <c r="K111" s="45"/>
      <c r="L111" s="56"/>
      <c r="M111" s="136"/>
      <c r="N111" s="56"/>
      <c r="O111" s="45"/>
      <c r="P111" s="45"/>
      <c r="Q111" s="45"/>
      <c r="R111" s="45"/>
      <c r="S111" s="45"/>
      <c r="T111" s="66"/>
      <c r="U111" s="67"/>
      <c r="V111" s="67"/>
      <c r="W111" s="67" t="e">
        <f>SUM(W13:W110)</f>
        <v>#REF!</v>
      </c>
      <c r="X111" s="67" t="e">
        <f>SUM(X13:X110)</f>
        <v>#REF!</v>
      </c>
      <c r="Y111" s="35" t="e">
        <f>SUM(Y13:Y109)</f>
        <v>#REF!</v>
      </c>
    </row>
    <row r="112" spans="2:25" ht="26.5" customHeight="1">
      <c r="B112" s="46"/>
      <c r="C112" s="47"/>
      <c r="D112" s="47"/>
      <c r="E112" s="47"/>
      <c r="F112" s="47"/>
      <c r="G112" s="47"/>
      <c r="H112" s="48"/>
      <c r="I112" s="62"/>
      <c r="J112" s="49"/>
      <c r="K112" s="49"/>
      <c r="L112" s="57"/>
      <c r="M112" s="137"/>
      <c r="N112" s="81"/>
      <c r="O112" s="49"/>
      <c r="P112" s="49"/>
      <c r="Q112" s="49"/>
      <c r="R112" s="83"/>
      <c r="S112" s="49"/>
      <c r="T112" s="282" t="s">
        <v>46</v>
      </c>
      <c r="U112" s="283"/>
      <c r="V112" s="283"/>
      <c r="W112" s="284"/>
      <c r="X112" s="283"/>
      <c r="Y112" s="285"/>
    </row>
    <row r="113" spans="1:25" ht="20">
      <c r="B113" s="46"/>
      <c r="C113" s="47"/>
      <c r="D113" s="47"/>
      <c r="E113" s="47"/>
      <c r="F113" s="47"/>
      <c r="G113" s="47"/>
      <c r="H113" s="48"/>
      <c r="I113" s="62"/>
      <c r="J113" s="49"/>
      <c r="K113" s="49"/>
      <c r="L113" s="57"/>
      <c r="M113" s="137"/>
      <c r="N113" s="81"/>
      <c r="O113" s="49"/>
      <c r="P113" s="49"/>
      <c r="Q113" s="49"/>
      <c r="R113" s="83"/>
      <c r="S113" s="49"/>
      <c r="T113" s="282"/>
      <c r="U113" s="283"/>
      <c r="V113" s="283"/>
      <c r="W113" s="284"/>
      <c r="X113" s="283"/>
      <c r="Y113" s="285"/>
    </row>
    <row r="114" spans="1:25" ht="20">
      <c r="B114" s="46"/>
      <c r="C114" s="47"/>
      <c r="D114" s="47"/>
      <c r="E114" s="47"/>
      <c r="F114" s="47"/>
      <c r="G114" s="47"/>
      <c r="H114" s="48"/>
      <c r="I114" s="62"/>
      <c r="J114" s="49"/>
      <c r="K114" s="49"/>
      <c r="L114" s="57"/>
      <c r="M114" s="137"/>
      <c r="N114" s="81"/>
      <c r="O114" s="49"/>
      <c r="P114" s="49"/>
      <c r="Q114" s="49"/>
      <c r="R114" s="83"/>
      <c r="S114" s="49"/>
      <c r="T114" s="268" t="e">
        <f>SUM(Y13:Y110)+Y118</f>
        <v>#REF!</v>
      </c>
      <c r="U114" s="269"/>
      <c r="V114" s="269"/>
      <c r="W114" s="270"/>
      <c r="X114" s="269"/>
      <c r="Y114" s="271"/>
    </row>
    <row r="115" spans="1:25" ht="21" thickBot="1">
      <c r="B115" s="50"/>
      <c r="C115" s="51"/>
      <c r="D115" s="51"/>
      <c r="E115" s="51"/>
      <c r="F115" s="51"/>
      <c r="G115" s="51"/>
      <c r="H115" s="52"/>
      <c r="I115" s="63"/>
      <c r="J115" s="53"/>
      <c r="K115" s="53"/>
      <c r="L115" s="65"/>
      <c r="M115" s="138"/>
      <c r="N115" s="82"/>
      <c r="O115" s="53"/>
      <c r="P115" s="53"/>
      <c r="Q115" s="53"/>
      <c r="R115" s="84"/>
      <c r="S115" s="53"/>
      <c r="T115" s="272"/>
      <c r="U115" s="273"/>
      <c r="V115" s="273"/>
      <c r="W115" s="274"/>
      <c r="X115" s="273"/>
      <c r="Y115" s="275"/>
    </row>
    <row r="116" spans="1:25" ht="18" thickBot="1"/>
    <row r="117" spans="1:25" ht="17.5" customHeight="1">
      <c r="B117" s="239" t="s">
        <v>58</v>
      </c>
      <c r="C117" s="241"/>
      <c r="D117" s="241"/>
      <c r="E117" s="245"/>
      <c r="U117" s="239" t="s">
        <v>70</v>
      </c>
      <c r="V117" s="240"/>
      <c r="W117" s="241"/>
      <c r="X117" s="241"/>
      <c r="Y117" s="249" t="e">
        <f>Y111</f>
        <v>#REF!</v>
      </c>
    </row>
    <row r="118" spans="1:25" ht="17.5" customHeight="1">
      <c r="A118" t="s">
        <v>53</v>
      </c>
      <c r="B118" s="242"/>
      <c r="C118" s="244"/>
      <c r="D118" s="244"/>
      <c r="E118" s="246"/>
      <c r="U118" s="242"/>
      <c r="V118" s="243"/>
      <c r="W118" s="244"/>
      <c r="X118" s="244"/>
      <c r="Y118" s="250"/>
    </row>
    <row r="119" spans="1:25" ht="17.5" customHeight="1">
      <c r="B119" s="298" t="s">
        <v>44</v>
      </c>
      <c r="C119" s="299"/>
      <c r="D119" s="71" t="s">
        <v>66</v>
      </c>
      <c r="E119" s="73" t="s">
        <v>68</v>
      </c>
      <c r="U119" s="242" t="s">
        <v>71</v>
      </c>
      <c r="V119" s="243"/>
      <c r="W119" s="244"/>
      <c r="X119" s="244"/>
      <c r="Y119" s="295" t="e">
        <f>W111</f>
        <v>#REF!</v>
      </c>
    </row>
    <row r="120" spans="1:25" ht="20" customHeight="1">
      <c r="B120" s="291" t="s">
        <v>62</v>
      </c>
      <c r="C120" s="292"/>
      <c r="D120" s="72">
        <f>SUMIF($P$13:$P$112,"25T*200*7200",$O$13:$O$112)</f>
        <v>0</v>
      </c>
      <c r="E120" s="74">
        <f>CEILING(D120/7200, 1)</f>
        <v>0</v>
      </c>
      <c r="U120" s="242"/>
      <c r="V120" s="243"/>
      <c r="W120" s="244"/>
      <c r="X120" s="244"/>
      <c r="Y120" s="250"/>
    </row>
    <row r="121" spans="1:25" ht="20" customHeight="1">
      <c r="B121" s="291" t="s">
        <v>82</v>
      </c>
      <c r="C121" s="292"/>
      <c r="D121" s="72">
        <f>SUMIF($P$13:$P$112,"25T*400*7200",$O$13:$O$112)</f>
        <v>0</v>
      </c>
      <c r="E121" s="74">
        <f>CEILING(D121/7200, 1)</f>
        <v>0</v>
      </c>
      <c r="U121" s="247" t="s">
        <v>72</v>
      </c>
      <c r="V121" s="248"/>
      <c r="W121" s="248"/>
      <c r="X121" s="248"/>
      <c r="Y121" s="296" t="e">
        <f>Y117-Y119</f>
        <v>#REF!</v>
      </c>
    </row>
    <row r="122" spans="1:25" ht="20" customHeight="1">
      <c r="B122" s="291" t="s">
        <v>84</v>
      </c>
      <c r="C122" s="292"/>
      <c r="D122" s="72">
        <f>SUMIF($P$13:$P$112,"38T*200*4800",$O$13:$O$112)</f>
        <v>0</v>
      </c>
      <c r="E122" s="74">
        <f>CEILING(D122/4800, 1)</f>
        <v>0</v>
      </c>
      <c r="U122" s="247"/>
      <c r="V122" s="248"/>
      <c r="W122" s="248"/>
      <c r="X122" s="248"/>
      <c r="Y122" s="297"/>
    </row>
    <row r="123" spans="1:25" ht="20" customHeight="1">
      <c r="B123" s="291" t="s">
        <v>63</v>
      </c>
      <c r="C123" s="292"/>
      <c r="D123" s="72">
        <f>SUMIF($P$13:$P$112,"38T*400*4800",$O$13:$O$112)</f>
        <v>0</v>
      </c>
      <c r="E123" s="74">
        <f>CEILING(D123/4800, 1)</f>
        <v>0</v>
      </c>
      <c r="H123" s="54"/>
      <c r="U123" s="247" t="s">
        <v>96</v>
      </c>
      <c r="V123" s="248"/>
      <c r="W123" s="248"/>
      <c r="X123" s="248"/>
      <c r="Y123" s="302" t="e">
        <f>Y121/Y117</f>
        <v>#REF!</v>
      </c>
    </row>
    <row r="124" spans="1:25" ht="20" customHeight="1" thickBot="1">
      <c r="B124" s="291" t="s">
        <v>65</v>
      </c>
      <c r="C124" s="292"/>
      <c r="D124" s="72">
        <f>SUMIF($P$13:$P$112,"38T*600*4800",$O$13:$O$112)</f>
        <v>0</v>
      </c>
      <c r="E124" s="74">
        <f>CEILING(D124/4800, 1)</f>
        <v>0</v>
      </c>
      <c r="U124" s="300"/>
      <c r="V124" s="301"/>
      <c r="W124" s="301"/>
      <c r="X124" s="301"/>
      <c r="Y124" s="303"/>
    </row>
    <row r="125" spans="1:25" ht="20" customHeight="1">
      <c r="B125" s="291" t="s">
        <v>141</v>
      </c>
      <c r="C125" s="292"/>
      <c r="D125" s="72">
        <f>SUMIF($P$13:$P$112,"50T*200*3600 + 50T*400*3600 * 2",$O$13:$O$112)</f>
        <v>0</v>
      </c>
      <c r="E125" s="74">
        <f>CEILING(D125/4800, 1)</f>
        <v>0</v>
      </c>
      <c r="U125" s="171"/>
      <c r="V125" s="171"/>
      <c r="W125" s="171"/>
      <c r="X125" s="171"/>
      <c r="Y125" s="172"/>
    </row>
    <row r="126" spans="1:25" ht="20" customHeight="1">
      <c r="B126" s="291" t="s">
        <v>142</v>
      </c>
      <c r="C126" s="292"/>
      <c r="D126" s="72">
        <f>SUMIF($P$13:$P$112,"50T*200*3600 + 50T*400*3600 * 2",$O$13:$O$112) * 2</f>
        <v>0</v>
      </c>
      <c r="E126" s="74">
        <f>CEILING(D126/3600, 1)</f>
        <v>0</v>
      </c>
      <c r="U126" s="171"/>
      <c r="V126" s="171"/>
      <c r="W126" s="171"/>
      <c r="X126" s="171"/>
      <c r="Y126" s="172"/>
    </row>
    <row r="127" spans="1:25" ht="20" customHeight="1" thickBot="1">
      <c r="B127" s="293" t="s">
        <v>67</v>
      </c>
      <c r="C127" s="294"/>
      <c r="D127" s="75"/>
      <c r="E127" s="76" t="e">
        <f>ROUNDUP(SUM($S$13:$S$112), 0)</f>
        <v>#REF!</v>
      </c>
    </row>
    <row r="128" spans="1:25" ht="20" customHeight="1"/>
    <row r="129" spans="25:25" ht="20" customHeight="1"/>
    <row r="131" spans="25:25" ht="17.5" customHeight="1">
      <c r="Y131" s="24"/>
    </row>
    <row r="134" spans="25:25">
      <c r="Y134" s="24"/>
    </row>
    <row r="139" spans="25:25" ht="17.5" customHeight="1"/>
    <row r="140" spans="25:25" ht="17.5" customHeight="1"/>
    <row r="141" spans="25:25" ht="17.5" customHeight="1"/>
    <row r="142" spans="25:25" ht="17.5" customHeight="1"/>
    <row r="143" spans="25:25" ht="17.5" customHeight="1"/>
    <row r="144" spans="25:25" ht="17.5" customHeight="1"/>
    <row r="145" ht="17.5" customHeight="1"/>
    <row r="146" ht="17.5" customHeight="1"/>
    <row r="147" ht="18" customHeight="1"/>
  </sheetData>
  <mergeCells count="27">
    <mergeCell ref="B123:C123"/>
    <mergeCell ref="B124:C124"/>
    <mergeCell ref="B127:C127"/>
    <mergeCell ref="Y119:Y120"/>
    <mergeCell ref="Y121:Y122"/>
    <mergeCell ref="B119:C119"/>
    <mergeCell ref="B120:C120"/>
    <mergeCell ref="B121:C121"/>
    <mergeCell ref="B122:C122"/>
    <mergeCell ref="U123:X124"/>
    <mergeCell ref="Y123:Y124"/>
    <mergeCell ref="B126:C126"/>
    <mergeCell ref="B125:C125"/>
    <mergeCell ref="F2:G3"/>
    <mergeCell ref="F5:G6"/>
    <mergeCell ref="B2:D6"/>
    <mergeCell ref="T114:Y115"/>
    <mergeCell ref="B8:B9"/>
    <mergeCell ref="B11:Y11"/>
    <mergeCell ref="T112:Y113"/>
    <mergeCell ref="C8:D9"/>
    <mergeCell ref="F8:G9"/>
    <mergeCell ref="U117:X118"/>
    <mergeCell ref="B117:E118"/>
    <mergeCell ref="U119:X120"/>
    <mergeCell ref="U121:X122"/>
    <mergeCell ref="Y117:Y118"/>
  </mergeCells>
  <phoneticPr fontId="2" type="noConversion"/>
  <dataValidations count="10">
    <dataValidation type="list" allowBlank="1" showInputMessage="1" showErrorMessage="1" sqref="C115" xr:uid="{81344D2C-1169-40E1-9EAD-CBE4CA78B6E3}">
      <formula1>INDIRECT("'단가고정구(" &amp; C8 &amp; ")'!$B$9:$B$385")</formula1>
    </dataValidation>
    <dataValidation type="list" allowBlank="1" showInputMessage="1" showErrorMessage="1" sqref="C114" xr:uid="{89DA8A0A-A279-49AE-94CF-347192DF783A}">
      <formula1>INDIRECT("'단가고정구(" &amp; C8 &amp; ")'!$B$9:$B$385")</formula1>
    </dataValidation>
    <dataValidation type="list" allowBlank="1" showInputMessage="1" showErrorMessage="1" sqref="C113" xr:uid="{4BEEB919-A28A-48F6-8430-7823BCCB60AC}">
      <formula1>INDIRECT("'단가고정구(" &amp; C8 &amp; ")'!$B$9:$B$385")</formula1>
    </dataValidation>
    <dataValidation type="list" allowBlank="1" showInputMessage="1" showErrorMessage="1" sqref="C112" xr:uid="{BA23F769-7199-4A1A-AE88-258D6191BBB4}">
      <formula1>INDIRECT("'단가고정구(" &amp; C8 &amp; ")'!$B$9:$B$385")</formula1>
    </dataValidation>
    <dataValidation type="list" allowBlank="1" showInputMessage="1" showErrorMessage="1" sqref="C110" xr:uid="{285B0BBC-1835-4710-A8D7-F45A2B473AC4}">
      <formula1>INDIRECT("'단가고정구(" &amp; C8 &amp; ")'!$B$9:$B$385")</formula1>
    </dataValidation>
    <dataValidation type="list" allowBlank="1" showInputMessage="1" showErrorMessage="1" sqref="C100" xr:uid="{2AB55EFC-6671-4C40-9B98-3F69E6289E3E}">
      <formula1>INDIRECT("'단가고정구(" &amp; $C$8 &amp; ")'!$B$9:$B$385")</formula1>
    </dataValidation>
    <dataValidation type="list" allowBlank="1" showInputMessage="1" showErrorMessage="1" sqref="C111" xr:uid="{06ECE52F-692D-48ED-AB53-6BC3D4D3874C}">
      <formula1>INDIRECT("'단가고정구(" &amp; C8 &amp; ")'!$B$9:$B$385")</formula1>
    </dataValidation>
    <dataValidation type="list" allowBlank="1" showInputMessage="1" showErrorMessage="1" sqref="C13:C98" xr:uid="{D8A2A64A-1195-4F9D-9050-909226BBF49C}">
      <formula1>INDIRECT("'단가표'!$B$9:$B$386")</formula1>
    </dataValidation>
    <dataValidation type="list" allowBlank="1" showInputMessage="1" showErrorMessage="1" sqref="E13:E111" xr:uid="{533F6505-6186-419D-9E27-A33392CB26EE}">
      <formula1>INDIRECT($D13)</formula1>
    </dataValidation>
    <dataValidation type="list" allowBlank="1" showInputMessage="1" showErrorMessage="1" sqref="D13:D111" xr:uid="{E30BF10E-D570-4C69-9AF4-22BB6547EBE6}">
      <formula1>INDIRECT($C13)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B9010-7E9D-4D52-B650-04EEC5EEEFBB}">
  <sheetPr codeName="Sheet4">
    <tabColor theme="7" tint="0.39997558519241921"/>
    <pageSetUpPr fitToPage="1"/>
  </sheetPr>
  <dimension ref="A1:N51"/>
  <sheetViews>
    <sheetView view="pageBreakPreview" zoomScale="55" zoomScaleNormal="55" zoomScaleSheetLayoutView="55" workbookViewId="0">
      <pane ySplit="6" topLeftCell="A7" activePane="bottomLeft" state="frozen"/>
      <selection activeCell="C1" sqref="C1"/>
      <selection pane="bottomLeft" activeCell="F46" sqref="F46"/>
    </sheetView>
  </sheetViews>
  <sheetFormatPr baseColWidth="10" defaultColWidth="8.83203125" defaultRowHeight="17"/>
  <cols>
    <col min="2" max="2" width="17.6640625" bestFit="1" customWidth="1"/>
    <col min="3" max="3" width="42.83203125" bestFit="1" customWidth="1"/>
    <col min="4" max="4" width="17.1640625" bestFit="1" customWidth="1"/>
    <col min="5" max="5" width="14.1640625" bestFit="1" customWidth="1"/>
    <col min="6" max="6" width="49.5" customWidth="1"/>
    <col min="7" max="7" width="22" bestFit="1" customWidth="1"/>
    <col min="9" max="9" width="11.6640625" style="54" bestFit="1" customWidth="1"/>
    <col min="10" max="10" width="23.33203125" customWidth="1"/>
    <col min="11" max="11" width="12.1640625" customWidth="1"/>
    <col min="12" max="12" width="14" customWidth="1"/>
    <col min="13" max="13" width="18.6640625" bestFit="1" customWidth="1"/>
    <col min="14" max="14" width="20.6640625" bestFit="1" customWidth="1"/>
    <col min="17" max="17" width="8.83203125" customWidth="1"/>
    <col min="19" max="19" width="34.1640625" bestFit="1" customWidth="1"/>
    <col min="20" max="20" width="31.83203125" bestFit="1" customWidth="1"/>
    <col min="21" max="21" width="11.1640625" customWidth="1"/>
    <col min="26" max="26" width="33.5" bestFit="1" customWidth="1"/>
    <col min="27" max="27" width="15.33203125" customWidth="1"/>
  </cols>
  <sheetData>
    <row r="1" spans="2:14" ht="19.75" customHeight="1" thickBot="1"/>
    <row r="2" spans="2:14" ht="19.75" customHeight="1">
      <c r="B2" s="304" t="s">
        <v>2</v>
      </c>
      <c r="C2" s="306" t="str">
        <f>'1.발주접수'!C5</f>
        <v>예시용</v>
      </c>
      <c r="E2" s="304" t="s">
        <v>5</v>
      </c>
      <c r="F2" s="286" t="str">
        <f>'1.발주접수'!C8</f>
        <v>현장명 예시</v>
      </c>
      <c r="G2" s="287"/>
    </row>
    <row r="3" spans="2:14" ht="18" customHeight="1" thickBot="1">
      <c r="B3" s="305"/>
      <c r="C3" s="307"/>
      <c r="E3" s="305"/>
      <c r="F3" s="288"/>
      <c r="G3" s="289"/>
      <c r="I3" s="59"/>
      <c r="J3" s="44"/>
    </row>
    <row r="4" spans="2:14" ht="18" thickBot="1"/>
    <row r="5" spans="2:14" ht="18">
      <c r="B5" s="278" t="s">
        <v>37</v>
      </c>
      <c r="C5" s="279"/>
      <c r="D5" s="279"/>
      <c r="E5" s="279"/>
      <c r="F5" s="279"/>
      <c r="G5" s="279"/>
      <c r="H5" s="279"/>
      <c r="I5" s="279"/>
      <c r="J5" s="279"/>
      <c r="K5" s="279"/>
      <c r="L5" s="280"/>
      <c r="M5" s="280"/>
      <c r="N5" s="281"/>
    </row>
    <row r="6" spans="2:14" ht="18" thickBot="1">
      <c r="B6" s="89"/>
      <c r="C6" s="90" t="s">
        <v>45</v>
      </c>
      <c r="D6" s="90" t="s">
        <v>41</v>
      </c>
      <c r="E6" s="90" t="s">
        <v>38</v>
      </c>
      <c r="F6" s="90" t="s">
        <v>52</v>
      </c>
      <c r="G6" s="90" t="s">
        <v>14</v>
      </c>
      <c r="H6" s="90" t="s">
        <v>15</v>
      </c>
      <c r="I6" s="91" t="s">
        <v>16</v>
      </c>
      <c r="J6" s="90" t="s">
        <v>51</v>
      </c>
      <c r="K6" s="92" t="s">
        <v>40</v>
      </c>
      <c r="L6" s="93" t="s">
        <v>42</v>
      </c>
      <c r="M6" s="93" t="s">
        <v>77</v>
      </c>
      <c r="N6" s="94" t="s">
        <v>19</v>
      </c>
    </row>
    <row r="7" spans="2:14" ht="26.5" customHeight="1">
      <c r="B7" s="34">
        <v>1</v>
      </c>
      <c r="C7" s="40" t="str">
        <f>'2.고정구단가산출'!C13</f>
        <v>벽체_강관</v>
      </c>
      <c r="D7" s="40" t="str">
        <f>'2.고정구단가산출'!D13</f>
        <v>벽체_강관_15A</v>
      </c>
      <c r="E7" s="41" t="str">
        <f>'2.고정구단가산출'!E13</f>
        <v>50A</v>
      </c>
      <c r="F7" s="36" t="str">
        <f>'2.고정구단가산출'!F13</f>
        <v>내화채움구조(벽체,강관용)</v>
      </c>
      <c r="G7" s="37" t="str">
        <f>'2.고정구단가산출'!G13</f>
        <v>15*25</v>
      </c>
      <c r="H7" s="37" t="str">
        <f>'2.고정구단가산출'!H13</f>
        <v>개소</v>
      </c>
      <c r="I7" s="60">
        <f>'2.고정구단가산출'!I13</f>
        <v>3</v>
      </c>
      <c r="J7" s="37"/>
      <c r="K7" s="79" t="e">
        <f>'2.고정구단가산출'!T13</f>
        <v>#REF!</v>
      </c>
      <c r="L7" s="67" t="e">
        <f>'2.고정구단가산출'!V13</f>
        <v>#REF!</v>
      </c>
      <c r="M7" s="67" t="e">
        <f>'2.고정구단가산출'!W13</f>
        <v>#REF!</v>
      </c>
      <c r="N7" s="35" t="e">
        <f>'2.고정구단가산출'!Y13</f>
        <v>#REF!</v>
      </c>
    </row>
    <row r="8" spans="2:14" ht="26.5" customHeight="1">
      <c r="B8" s="34">
        <f>B7+1</f>
        <v>2</v>
      </c>
      <c r="C8" s="40">
        <f>'2.고정구단가산출'!C14</f>
        <v>0</v>
      </c>
      <c r="D8" s="40">
        <f>'2.고정구단가산출'!D14</f>
        <v>0</v>
      </c>
      <c r="E8" s="41">
        <f>'2.고정구단가산출'!E14</f>
        <v>0</v>
      </c>
      <c r="F8" s="36">
        <f>'2.고정구단가산출'!F14</f>
        <v>0</v>
      </c>
      <c r="G8" s="37">
        <f>'2.고정구단가산출'!G14</f>
        <v>0</v>
      </c>
      <c r="H8" s="37">
        <f>'2.고정구단가산출'!H14</f>
        <v>0</v>
      </c>
      <c r="I8" s="61">
        <f>'2.고정구단가산출'!I14</f>
        <v>0</v>
      </c>
      <c r="J8" s="37"/>
      <c r="K8" s="79" t="e">
        <f>'2.고정구단가산출'!T14</f>
        <v>#REF!</v>
      </c>
      <c r="L8" s="67" t="e">
        <f>'2.고정구단가산출'!V14</f>
        <v>#REF!</v>
      </c>
      <c r="M8" s="67" t="e">
        <f>'2.고정구단가산출'!W14</f>
        <v>#REF!</v>
      </c>
      <c r="N8" s="35" t="e">
        <f>'2.고정구단가산출'!Y14</f>
        <v>#REF!</v>
      </c>
    </row>
    <row r="9" spans="2:14" ht="26.5" customHeight="1">
      <c r="B9" s="34">
        <f t="shared" ref="B9:B14" si="0">B8+1</f>
        <v>3</v>
      </c>
      <c r="C9" s="40">
        <f>'2.고정구단가산출'!C15</f>
        <v>0</v>
      </c>
      <c r="D9" s="40">
        <f>'2.고정구단가산출'!D15</f>
        <v>0</v>
      </c>
      <c r="E9" s="41">
        <f>'2.고정구단가산출'!E15</f>
        <v>0</v>
      </c>
      <c r="F9" s="36">
        <f>'2.고정구단가산출'!F15</f>
        <v>0</v>
      </c>
      <c r="G9" s="37">
        <f>'2.고정구단가산출'!G15</f>
        <v>0</v>
      </c>
      <c r="H9" s="37">
        <f>'2.고정구단가산출'!H15</f>
        <v>0</v>
      </c>
      <c r="I9" s="61">
        <f>'2.고정구단가산출'!I15</f>
        <v>0</v>
      </c>
      <c r="J9" s="37"/>
      <c r="K9" s="79" t="e">
        <f>'2.고정구단가산출'!T15</f>
        <v>#REF!</v>
      </c>
      <c r="L9" s="67" t="e">
        <f>'2.고정구단가산출'!V15</f>
        <v>#REF!</v>
      </c>
      <c r="M9" s="67" t="e">
        <f>'2.고정구단가산출'!W15</f>
        <v>#REF!</v>
      </c>
      <c r="N9" s="35" t="e">
        <f>'2.고정구단가산출'!Y15</f>
        <v>#REF!</v>
      </c>
    </row>
    <row r="10" spans="2:14" ht="26.5" customHeight="1">
      <c r="B10" s="34">
        <f t="shared" si="0"/>
        <v>4</v>
      </c>
      <c r="C10" s="40">
        <f>'2.고정구단가산출'!C16</f>
        <v>0</v>
      </c>
      <c r="D10" s="40">
        <f>'2.고정구단가산출'!D16</f>
        <v>0</v>
      </c>
      <c r="E10" s="41">
        <f>'2.고정구단가산출'!E16</f>
        <v>0</v>
      </c>
      <c r="F10" s="36">
        <f>'2.고정구단가산출'!F16</f>
        <v>0</v>
      </c>
      <c r="G10" s="37">
        <f>'2.고정구단가산출'!G16</f>
        <v>0</v>
      </c>
      <c r="H10" s="37">
        <f>'2.고정구단가산출'!H16</f>
        <v>0</v>
      </c>
      <c r="I10" s="61">
        <f>'2.고정구단가산출'!I16</f>
        <v>0</v>
      </c>
      <c r="J10" s="37"/>
      <c r="K10" s="79" t="e">
        <f>'2.고정구단가산출'!T16</f>
        <v>#REF!</v>
      </c>
      <c r="L10" s="67" t="e">
        <f>'2.고정구단가산출'!V16</f>
        <v>#REF!</v>
      </c>
      <c r="M10" s="67" t="e">
        <f>'2.고정구단가산출'!W16</f>
        <v>#REF!</v>
      </c>
      <c r="N10" s="35" t="e">
        <f>'2.고정구단가산출'!Y16</f>
        <v>#REF!</v>
      </c>
    </row>
    <row r="11" spans="2:14" ht="26.5" customHeight="1">
      <c r="B11" s="34">
        <f t="shared" si="0"/>
        <v>5</v>
      </c>
      <c r="C11" s="40">
        <f>'2.고정구단가산출'!C17</f>
        <v>0</v>
      </c>
      <c r="D11" s="40">
        <f>'2.고정구단가산출'!D17</f>
        <v>0</v>
      </c>
      <c r="E11" s="41">
        <f>'2.고정구단가산출'!E17</f>
        <v>0</v>
      </c>
      <c r="F11" s="36">
        <f>'2.고정구단가산출'!F17</f>
        <v>0</v>
      </c>
      <c r="G11" s="37">
        <f>'2.고정구단가산출'!G17</f>
        <v>0</v>
      </c>
      <c r="H11" s="37">
        <f>'2.고정구단가산출'!H17</f>
        <v>0</v>
      </c>
      <c r="I11" s="61">
        <f>'2.고정구단가산출'!I17</f>
        <v>0</v>
      </c>
      <c r="J11" s="37"/>
      <c r="K11" s="79" t="e">
        <f>'2.고정구단가산출'!T17</f>
        <v>#REF!</v>
      </c>
      <c r="L11" s="67" t="e">
        <f>'2.고정구단가산출'!V17</f>
        <v>#REF!</v>
      </c>
      <c r="M11" s="67" t="e">
        <f>'2.고정구단가산출'!W17</f>
        <v>#REF!</v>
      </c>
      <c r="N11" s="35" t="e">
        <f>'2.고정구단가산출'!Y17</f>
        <v>#REF!</v>
      </c>
    </row>
    <row r="12" spans="2:14" ht="26.5" customHeight="1">
      <c r="B12" s="34">
        <f t="shared" si="0"/>
        <v>6</v>
      </c>
      <c r="C12" s="40">
        <f>'2.고정구단가산출'!C18</f>
        <v>0</v>
      </c>
      <c r="D12" s="40">
        <f>'2.고정구단가산출'!D18</f>
        <v>0</v>
      </c>
      <c r="E12" s="41">
        <f>'2.고정구단가산출'!E18</f>
        <v>0</v>
      </c>
      <c r="F12" s="36">
        <f>'2.고정구단가산출'!F18</f>
        <v>0</v>
      </c>
      <c r="G12" s="37">
        <f>'2.고정구단가산출'!G18</f>
        <v>0</v>
      </c>
      <c r="H12" s="37">
        <f>'2.고정구단가산출'!H18</f>
        <v>0</v>
      </c>
      <c r="I12" s="61">
        <f>'2.고정구단가산출'!I18</f>
        <v>0</v>
      </c>
      <c r="J12" s="37"/>
      <c r="K12" s="79" t="e">
        <f>'2.고정구단가산출'!T18</f>
        <v>#REF!</v>
      </c>
      <c r="L12" s="67" t="e">
        <f>'2.고정구단가산출'!V18</f>
        <v>#REF!</v>
      </c>
      <c r="M12" s="67" t="e">
        <f>'2.고정구단가산출'!W18</f>
        <v>#REF!</v>
      </c>
      <c r="N12" s="35" t="e">
        <f>'2.고정구단가산출'!Y18</f>
        <v>#REF!</v>
      </c>
    </row>
    <row r="13" spans="2:14" ht="26" customHeight="1">
      <c r="B13" s="34">
        <f t="shared" si="0"/>
        <v>7</v>
      </c>
      <c r="C13" s="40">
        <f>'2.고정구단가산출'!C110</f>
        <v>0</v>
      </c>
      <c r="D13" s="40">
        <f>'2.고정구단가산출'!D110</f>
        <v>0</v>
      </c>
      <c r="E13" s="41">
        <f>'2.고정구단가산출'!E110</f>
        <v>0</v>
      </c>
      <c r="F13" s="36">
        <f>'2.고정구단가산출'!F110</f>
        <v>0</v>
      </c>
      <c r="G13" s="36">
        <f>'2.고정구단가산출'!G110</f>
        <v>0</v>
      </c>
      <c r="H13" s="38">
        <f>'2.고정구단가산출'!H110</f>
        <v>0</v>
      </c>
      <c r="I13" s="61">
        <f>'2.고정구단가산출'!I110</f>
        <v>0</v>
      </c>
      <c r="J13" s="39"/>
      <c r="K13" s="66">
        <f>'2.고정구단가산출'!T110</f>
        <v>0</v>
      </c>
      <c r="L13" s="67">
        <f>'2.고정구단가산출'!V110</f>
        <v>0</v>
      </c>
      <c r="M13" s="67">
        <f>'2.고정구단가산출'!W110</f>
        <v>0</v>
      </c>
      <c r="N13" s="35">
        <f>'2.고정구단가산출'!Y110</f>
        <v>0</v>
      </c>
    </row>
    <row r="14" spans="2:14" ht="26" customHeight="1">
      <c r="B14" s="34">
        <f t="shared" si="0"/>
        <v>8</v>
      </c>
      <c r="C14" s="40">
        <f>'2.고정구단가산출'!C111</f>
        <v>0</v>
      </c>
      <c r="D14" s="40">
        <f>'2.고정구단가산출'!D111</f>
        <v>0</v>
      </c>
      <c r="E14" s="41">
        <f>'2.고정구단가산출'!E111</f>
        <v>0</v>
      </c>
      <c r="F14" s="36">
        <f>'2.고정구단가산출'!F111</f>
        <v>0</v>
      </c>
      <c r="G14" s="36">
        <f>'2.고정구단가산출'!G111</f>
        <v>0</v>
      </c>
      <c r="H14" s="38">
        <f>'2.고정구단가산출'!H111</f>
        <v>0</v>
      </c>
      <c r="I14" s="61">
        <f>'2.고정구단가산출'!I111</f>
        <v>0</v>
      </c>
      <c r="J14" s="39"/>
      <c r="K14" s="66">
        <f>'2.고정구단가산출'!T111</f>
        <v>0</v>
      </c>
      <c r="L14" s="67">
        <f>'2.고정구단가산출'!V111</f>
        <v>0</v>
      </c>
      <c r="M14" s="67" t="e">
        <f>'2.고정구단가산출'!W111</f>
        <v>#REF!</v>
      </c>
      <c r="N14" s="35" t="e">
        <f>'2.고정구단가산출'!Y111</f>
        <v>#REF!</v>
      </c>
    </row>
    <row r="15" spans="2:14" ht="26.5" customHeight="1">
      <c r="B15" s="46"/>
      <c r="C15" s="47"/>
      <c r="D15" s="47"/>
      <c r="E15" s="47"/>
      <c r="F15" s="47"/>
      <c r="G15" s="47"/>
      <c r="H15" s="48"/>
      <c r="I15" s="62"/>
      <c r="J15" s="49"/>
      <c r="K15" s="282" t="s">
        <v>46</v>
      </c>
      <c r="L15" s="283"/>
      <c r="M15" s="284"/>
      <c r="N15" s="285"/>
    </row>
    <row r="16" spans="2:14" ht="20">
      <c r="B16" s="46"/>
      <c r="C16" s="47"/>
      <c r="D16" s="47"/>
      <c r="E16" s="47"/>
      <c r="F16" s="47"/>
      <c r="G16" s="47"/>
      <c r="H16" s="48"/>
      <c r="I16" s="62"/>
      <c r="J16" s="49"/>
      <c r="K16" s="282"/>
      <c r="L16" s="283"/>
      <c r="M16" s="284"/>
      <c r="N16" s="285"/>
    </row>
    <row r="17" spans="1:14" ht="20">
      <c r="B17" s="46"/>
      <c r="C17" s="47"/>
      <c r="D17" s="47"/>
      <c r="E17" s="47"/>
      <c r="F17" s="47"/>
      <c r="G17" s="47"/>
      <c r="H17" s="48"/>
      <c r="I17" s="62"/>
      <c r="J17" s="49"/>
      <c r="K17" s="268" t="e">
        <f>'2.고정구단가산출'!T114</f>
        <v>#REF!</v>
      </c>
      <c r="L17" s="269"/>
      <c r="M17" s="270"/>
      <c r="N17" s="271"/>
    </row>
    <row r="18" spans="1:14" ht="21" thickBot="1">
      <c r="B18" s="50"/>
      <c r="C18" s="51"/>
      <c r="D18" s="51"/>
      <c r="E18" s="51"/>
      <c r="F18" s="51"/>
      <c r="G18" s="51"/>
      <c r="H18" s="52"/>
      <c r="I18" s="63"/>
      <c r="J18" s="53"/>
      <c r="K18" s="272"/>
      <c r="L18" s="273"/>
      <c r="M18" s="274"/>
      <c r="N18" s="275"/>
    </row>
    <row r="19" spans="1:14" ht="18" thickBot="1"/>
    <row r="20" spans="1:14" ht="17.5" customHeight="1">
      <c r="J20" s="80"/>
      <c r="K20" s="239" t="s">
        <v>70</v>
      </c>
      <c r="L20" s="241"/>
      <c r="M20" s="241"/>
      <c r="N20" s="249" t="e">
        <f>'2.고정구단가산출'!Y117</f>
        <v>#REF!</v>
      </c>
    </row>
    <row r="21" spans="1:14" ht="17.5" customHeight="1">
      <c r="A21" t="s">
        <v>53</v>
      </c>
      <c r="K21" s="242"/>
      <c r="L21" s="244"/>
      <c r="M21" s="244"/>
      <c r="N21" s="250"/>
    </row>
    <row r="22" spans="1:14" ht="17.5" customHeight="1">
      <c r="K22" s="242" t="s">
        <v>71</v>
      </c>
      <c r="L22" s="244"/>
      <c r="M22" s="244"/>
      <c r="N22" s="311" t="e">
        <f>'2.고정구단가산출'!Y119</f>
        <v>#REF!</v>
      </c>
    </row>
    <row r="23" spans="1:14" ht="20" customHeight="1">
      <c r="K23" s="242"/>
      <c r="L23" s="244"/>
      <c r="M23" s="244"/>
      <c r="N23" s="312"/>
    </row>
    <row r="24" spans="1:14" ht="20" customHeight="1">
      <c r="K24" s="313" t="s">
        <v>72</v>
      </c>
      <c r="L24" s="314"/>
      <c r="M24" s="315"/>
      <c r="N24" s="311" t="e">
        <f>'2.고정구단가산출'!Y121</f>
        <v>#REF!</v>
      </c>
    </row>
    <row r="25" spans="1:14" ht="20" customHeight="1">
      <c r="K25" s="316"/>
      <c r="L25" s="317"/>
      <c r="M25" s="318"/>
      <c r="N25" s="312"/>
    </row>
    <row r="26" spans="1:14" ht="20" customHeight="1">
      <c r="K26" s="242" t="s">
        <v>96</v>
      </c>
      <c r="L26" s="244"/>
      <c r="M26" s="244"/>
      <c r="N26" s="309" t="e">
        <f>'2.고정구단가산출'!Y123</f>
        <v>#REF!</v>
      </c>
    </row>
    <row r="27" spans="1:14" ht="20" customHeight="1" thickBot="1">
      <c r="K27" s="308"/>
      <c r="L27" s="301"/>
      <c r="M27" s="301"/>
      <c r="N27" s="310"/>
    </row>
    <row r="28" spans="1:14" ht="20" customHeight="1">
      <c r="H28" s="54"/>
      <c r="N28" s="70"/>
    </row>
    <row r="29" spans="1:14" ht="20" customHeight="1"/>
    <row r="30" spans="1:14" ht="20" customHeight="1"/>
    <row r="31" spans="1:14" ht="20" customHeight="1"/>
    <row r="32" spans="1:14" ht="20" customHeight="1"/>
    <row r="33" spans="14:14" ht="20" customHeight="1">
      <c r="N33" s="69"/>
    </row>
    <row r="43" spans="14:14" ht="17.5" customHeight="1"/>
    <row r="44" spans="14:14" ht="17.5" customHeight="1"/>
    <row r="45" spans="14:14" ht="17.5" customHeight="1"/>
    <row r="46" spans="14:14" ht="17.5" customHeight="1"/>
    <row r="47" spans="14:14" ht="17.5" customHeight="1"/>
    <row r="48" spans="14:14" ht="17.5" customHeight="1"/>
    <row r="49" ht="17.5" customHeight="1"/>
    <row r="50" ht="17.5" customHeight="1"/>
    <row r="51" ht="18" customHeight="1"/>
  </sheetData>
  <mergeCells count="15">
    <mergeCell ref="B2:B3"/>
    <mergeCell ref="C2:C3"/>
    <mergeCell ref="B5:N5"/>
    <mergeCell ref="K26:M27"/>
    <mergeCell ref="N26:N27"/>
    <mergeCell ref="E2:E3"/>
    <mergeCell ref="K15:N16"/>
    <mergeCell ref="K17:N18"/>
    <mergeCell ref="K20:M21"/>
    <mergeCell ref="N20:N21"/>
    <mergeCell ref="K22:M23"/>
    <mergeCell ref="N22:N23"/>
    <mergeCell ref="F2:G3"/>
    <mergeCell ref="K24:M25"/>
    <mergeCell ref="N24:N25"/>
  </mergeCells>
  <phoneticPr fontId="2" type="noConversion"/>
  <dataValidations count="9">
    <dataValidation type="list" allowBlank="1" showInputMessage="1" showErrorMessage="1" sqref="C14" xr:uid="{DC30197C-2F81-4592-879B-1A6238EEEFD7}">
      <formula1>INDIRECT("'단가고정구(" &amp; C2 &amp; ")'!$B$9:$B$385")</formula1>
    </dataValidation>
    <dataValidation type="list" allowBlank="1" showInputMessage="1" showErrorMessage="1" sqref="C13" xr:uid="{9EF9DE47-DB7D-441F-A05C-F7FF4B6F562B}">
      <formula1>INDIRECT("'단가고정구(" &amp; C2 &amp; ")'!$B$9:$B$385")</formula1>
    </dataValidation>
    <dataValidation type="list" allowBlank="1" showInputMessage="1" showErrorMessage="1" sqref="C15" xr:uid="{56FD146E-6AD8-4E0D-A408-51511677AD92}">
      <formula1>INDIRECT("'단가고정구(" &amp; C2 &amp; ")'!$B$9:$B$385")</formula1>
    </dataValidation>
    <dataValidation type="list" allowBlank="1" showInputMessage="1" showErrorMessage="1" sqref="C16" xr:uid="{189CC662-B3B1-4484-8245-AA8520E6FBED}">
      <formula1>INDIRECT("'단가고정구(" &amp; C2 &amp; ")'!$B$9:$B$385")</formula1>
    </dataValidation>
    <dataValidation type="list" allowBlank="1" showInputMessage="1" showErrorMessage="1" sqref="C17" xr:uid="{4E982220-8512-4C1F-9001-ECB3A6E68837}">
      <formula1>INDIRECT("'단가고정구(" &amp; C2 &amp; ")'!$B$9:$B$385")</formula1>
    </dataValidation>
    <dataValidation type="list" allowBlank="1" showInputMessage="1" showErrorMessage="1" sqref="C18" xr:uid="{DD2751EC-DA53-494E-9844-C028BAA8BBD1}">
      <formula1>INDIRECT("'단가고정구(" &amp; C2 &amp; ")'!$B$9:$B$385")</formula1>
    </dataValidation>
    <dataValidation type="list" allowBlank="1" showInputMessage="1" showErrorMessage="1" sqref="C7:C12" xr:uid="{9D0B5785-59C5-47EB-840F-9653B61A7850}">
      <formula1>INDIRECT("'단가표'!$B$9:$B$386")</formula1>
    </dataValidation>
    <dataValidation type="list" allowBlank="1" showInputMessage="1" showErrorMessage="1" sqref="D7:D14" xr:uid="{6437DC05-CCE5-4D5F-BC47-76E290C7C0B3}">
      <formula1>INDIRECT($C7)</formula1>
    </dataValidation>
    <dataValidation type="list" allowBlank="1" showInputMessage="1" showErrorMessage="1" sqref="E7:E14" xr:uid="{8E0BD5F4-FBD6-4469-9B69-56506B9B405D}">
      <formula1>INDIRECT($D7)</formula1>
    </dataValidation>
  </dataValidation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02134-9201-4CBB-B00C-460AF5911435}">
  <sheetPr codeName="Sheet5">
    <tabColor rgb="FFC00000"/>
    <pageSetUpPr fitToPage="1"/>
  </sheetPr>
  <dimension ref="A1:U60"/>
  <sheetViews>
    <sheetView view="pageBreakPreview" topLeftCell="A11" zoomScale="85" zoomScaleNormal="100" zoomScaleSheetLayoutView="85" workbookViewId="0">
      <selection activeCell="K21" sqref="K21"/>
    </sheetView>
  </sheetViews>
  <sheetFormatPr baseColWidth="10" defaultColWidth="8.83203125" defaultRowHeight="17"/>
  <cols>
    <col min="1" max="1" width="5.1640625" bestFit="1" customWidth="1"/>
    <col min="2" max="2" width="35.33203125" customWidth="1"/>
    <col min="3" max="3" width="16" customWidth="1"/>
    <col min="4" max="4" width="5.1640625" customWidth="1"/>
    <col min="5" max="5" width="5.33203125" style="32" bestFit="1" customWidth="1"/>
    <col min="6" max="6" width="8.6640625" bestFit="1" customWidth="1"/>
    <col min="7" max="7" width="10.1640625" bestFit="1" customWidth="1"/>
    <col min="8" max="8" width="36.6640625" customWidth="1"/>
    <col min="9" max="9" width="15.83203125" customWidth="1"/>
    <col min="10" max="10" width="9" customWidth="1"/>
    <col min="11" max="11" width="24.1640625" customWidth="1"/>
    <col min="12" max="12" width="19.83203125" bestFit="1" customWidth="1"/>
    <col min="13" max="13" width="31" bestFit="1" customWidth="1"/>
    <col min="15" max="15" width="12" bestFit="1" customWidth="1"/>
    <col min="16" max="16" width="47" customWidth="1"/>
    <col min="17" max="17" width="12" bestFit="1" customWidth="1"/>
    <col min="18" max="18" width="11.6640625" bestFit="1" customWidth="1"/>
    <col min="19" max="19" width="11.33203125" bestFit="1" customWidth="1"/>
    <col min="20" max="20" width="9.1640625" bestFit="1" customWidth="1"/>
    <col min="21" max="21" width="9.1640625" style="15" bestFit="1" customWidth="1"/>
    <col min="22" max="22" width="10.5" bestFit="1" customWidth="1"/>
  </cols>
  <sheetData>
    <row r="1" spans="1:21">
      <c r="J1" s="3"/>
      <c r="K1" s="15"/>
      <c r="U1"/>
    </row>
    <row r="2" spans="1:21" ht="25.25" customHeight="1">
      <c r="A2" s="323" t="s">
        <v>133</v>
      </c>
      <c r="B2" s="323"/>
      <c r="C2" s="323"/>
      <c r="D2" s="323"/>
      <c r="E2" s="323"/>
      <c r="F2" s="323"/>
      <c r="G2" s="323"/>
      <c r="H2" s="323"/>
      <c r="I2" s="323"/>
      <c r="J2" s="7"/>
      <c r="K2" s="15"/>
      <c r="L2" s="16"/>
      <c r="U2"/>
    </row>
    <row r="3" spans="1:21" ht="25.25" customHeight="1">
      <c r="J3" s="7"/>
      <c r="K3" s="15"/>
      <c r="L3" s="16"/>
      <c r="U3"/>
    </row>
    <row r="4" spans="1:21" ht="25.25" customHeight="1">
      <c r="A4" s="324" t="s">
        <v>90</v>
      </c>
      <c r="B4" s="324"/>
      <c r="C4" s="324"/>
      <c r="D4" s="324"/>
      <c r="E4" s="324"/>
      <c r="F4" s="324"/>
      <c r="G4" s="324"/>
      <c r="H4" s="324"/>
      <c r="I4" s="324"/>
      <c r="J4" s="7"/>
      <c r="K4" s="15"/>
      <c r="L4" s="16"/>
      <c r="U4"/>
    </row>
    <row r="5" spans="1:21" ht="25.25" customHeight="1">
      <c r="A5" s="325"/>
      <c r="B5" s="325"/>
      <c r="C5" s="325"/>
      <c r="D5" s="325"/>
      <c r="E5" s="325"/>
      <c r="F5" s="325"/>
      <c r="G5" s="325"/>
      <c r="H5" s="325"/>
      <c r="I5" s="325"/>
      <c r="J5" s="7"/>
      <c r="K5" s="15"/>
      <c r="L5" s="16"/>
      <c r="U5"/>
    </row>
    <row r="6" spans="1:21" ht="25.25" customHeight="1">
      <c r="A6" s="326"/>
      <c r="B6" s="326"/>
      <c r="C6" s="326"/>
      <c r="D6" s="326"/>
      <c r="E6" s="326"/>
      <c r="F6" s="326"/>
      <c r="G6" s="326"/>
      <c r="H6" s="326"/>
      <c r="I6" s="326"/>
      <c r="J6" s="7"/>
      <c r="K6" s="15"/>
      <c r="L6" s="16"/>
      <c r="U6"/>
    </row>
    <row r="7" spans="1:21" ht="25.25" customHeight="1">
      <c r="A7" s="327"/>
      <c r="B7" s="327"/>
      <c r="C7" s="327"/>
      <c r="D7" s="327"/>
      <c r="E7" s="327"/>
      <c r="F7" s="327"/>
      <c r="G7" s="327"/>
      <c r="H7" s="327"/>
      <c r="I7" s="327"/>
      <c r="J7" s="7"/>
      <c r="K7" s="15"/>
      <c r="L7" s="16"/>
      <c r="U7"/>
    </row>
    <row r="8" spans="1:21" ht="2.25" customHeight="1">
      <c r="A8" s="330"/>
      <c r="B8" s="330"/>
      <c r="C8" s="330"/>
      <c r="D8" s="330"/>
      <c r="E8" s="330"/>
      <c r="F8" s="330"/>
      <c r="G8" s="330"/>
      <c r="H8" s="330"/>
      <c r="I8" s="161"/>
      <c r="K8" s="17"/>
      <c r="U8"/>
    </row>
    <row r="9" spans="1:21">
      <c r="A9" s="225"/>
      <c r="B9" s="225"/>
      <c r="C9" s="225"/>
      <c r="D9" s="225"/>
      <c r="E9" s="225"/>
      <c r="F9" s="225"/>
      <c r="G9" s="225"/>
      <c r="H9" s="225"/>
      <c r="K9" s="15"/>
      <c r="L9" s="319" t="str">
        <f>'1.발주접수'!$C$5</f>
        <v>예시용</v>
      </c>
      <c r="M9" s="320" t="s">
        <v>21</v>
      </c>
      <c r="P9" s="321" t="s">
        <v>22</v>
      </c>
      <c r="U9"/>
    </row>
    <row r="10" spans="1:21" ht="19.25" customHeight="1">
      <c r="A10" s="13"/>
      <c r="B10" s="102"/>
      <c r="C10" s="102"/>
      <c r="D10" s="102"/>
      <c r="E10" s="102"/>
      <c r="G10" s="167"/>
      <c r="H10" s="167"/>
      <c r="I10" s="167"/>
      <c r="K10" s="15"/>
      <c r="L10" s="319"/>
      <c r="M10" s="320"/>
      <c r="P10" s="321"/>
      <c r="U10"/>
    </row>
    <row r="11" spans="1:21" ht="17.5" customHeight="1">
      <c r="A11" s="13"/>
      <c r="B11" s="102"/>
      <c r="C11" s="102"/>
      <c r="D11" s="102"/>
      <c r="E11" s="102"/>
      <c r="G11" s="167"/>
      <c r="H11" s="167"/>
      <c r="I11" s="167"/>
      <c r="K11" s="15"/>
      <c r="L11" s="140" t="s">
        <v>135</v>
      </c>
      <c r="M11" s="103" t="str">
        <f>TEXT(M12,"yyyy-mm-dd")</f>
        <v>2026-02-05</v>
      </c>
      <c r="P11" s="104" t="s">
        <v>30</v>
      </c>
      <c r="U11"/>
    </row>
    <row r="12" spans="1:21" ht="20">
      <c r="A12" s="10"/>
      <c r="B12" s="102"/>
      <c r="C12" s="102"/>
      <c r="D12" s="102"/>
      <c r="E12" s="102"/>
      <c r="G12" s="166"/>
      <c r="H12" s="102"/>
      <c r="I12" s="7"/>
      <c r="K12" s="15"/>
      <c r="L12" s="140" t="s">
        <v>136</v>
      </c>
      <c r="M12" s="141">
        <f>'1.발주접수'!$C$6</f>
        <v>46058</v>
      </c>
      <c r="P12" s="104" t="s">
        <v>24</v>
      </c>
      <c r="U12"/>
    </row>
    <row r="13" spans="1:21" ht="17.5" customHeight="1">
      <c r="A13" s="10"/>
      <c r="B13" s="102"/>
      <c r="C13" s="102"/>
      <c r="D13" s="102"/>
      <c r="E13" s="102"/>
      <c r="G13" s="166"/>
      <c r="H13" s="102"/>
      <c r="K13" s="15"/>
      <c r="L13" s="140" t="s">
        <v>137</v>
      </c>
      <c r="M13" s="142" t="str">
        <f>'1.발주접수'!$C$8</f>
        <v>현장명 예시</v>
      </c>
      <c r="P13" s="104" t="s">
        <v>134</v>
      </c>
      <c r="U13"/>
    </row>
    <row r="14" spans="1:21" ht="17.5" customHeight="1">
      <c r="A14" s="10"/>
      <c r="B14" s="102"/>
      <c r="C14" s="102"/>
      <c r="D14" s="102"/>
      <c r="E14" s="102"/>
      <c r="G14" s="166"/>
      <c r="H14" s="102"/>
      <c r="K14" s="15"/>
      <c r="L14" s="168"/>
      <c r="M14" s="169"/>
      <c r="P14" s="139"/>
      <c r="U14"/>
    </row>
    <row r="15" spans="1:21" ht="18">
      <c r="A15" s="10"/>
      <c r="B15" s="10"/>
      <c r="C15" s="9"/>
      <c r="H15" s="12"/>
      <c r="K15" s="15"/>
      <c r="U15"/>
    </row>
    <row r="16" spans="1:21" ht="18">
      <c r="A16" s="10"/>
      <c r="B16" s="85" t="s">
        <v>91</v>
      </c>
      <c r="C16" s="9"/>
      <c r="H16" s="23"/>
      <c r="K16" s="15"/>
      <c r="U16"/>
    </row>
    <row r="17" spans="1:21" ht="18">
      <c r="A17" s="10"/>
      <c r="B17" s="85"/>
      <c r="C17" s="9"/>
      <c r="H17" s="23"/>
      <c r="K17" s="15"/>
      <c r="U17"/>
    </row>
    <row r="18" spans="1:21" ht="20">
      <c r="B18" s="162" t="e">
        <f>"[납품금액]"&amp;"一金"&amp;NUMBERSTRING(G53,1)&amp;"원정"</f>
        <v>#REF!</v>
      </c>
      <c r="C18" s="22"/>
      <c r="D18" s="22"/>
      <c r="E18" s="163"/>
      <c r="F18" s="22"/>
      <c r="G18" s="22"/>
      <c r="H18" s="164"/>
      <c r="I18" s="165" t="s">
        <v>27</v>
      </c>
      <c r="K18" s="15"/>
      <c r="U18"/>
    </row>
    <row r="19" spans="1:21" ht="21" customHeight="1">
      <c r="H19" s="23"/>
      <c r="U19"/>
    </row>
    <row r="20" spans="1:21" ht="41.5" customHeight="1">
      <c r="A20" s="153" t="s">
        <v>17</v>
      </c>
      <c r="B20" s="153" t="s">
        <v>138</v>
      </c>
      <c r="C20" s="154" t="s">
        <v>139</v>
      </c>
      <c r="D20" s="153" t="s">
        <v>15</v>
      </c>
      <c r="E20" s="155" t="s">
        <v>16</v>
      </c>
      <c r="F20" s="153" t="s">
        <v>23</v>
      </c>
      <c r="G20" s="153" t="s">
        <v>19</v>
      </c>
      <c r="H20" s="153" t="s">
        <v>28</v>
      </c>
      <c r="I20" s="153" t="s">
        <v>140</v>
      </c>
      <c r="K20" s="15"/>
      <c r="U20"/>
    </row>
    <row r="21" spans="1:21">
      <c r="A21" s="143">
        <v>1</v>
      </c>
      <c r="B21" s="144" t="str">
        <f>'2.고정구단가산출'!F13</f>
        <v>내화채움구조(벽체,강관용)</v>
      </c>
      <c r="C21" s="145" t="str">
        <f>'2.고정구단가산출'!G13</f>
        <v>15*25</v>
      </c>
      <c r="D21" s="145" t="str">
        <f>'2.고정구단가산출'!H13</f>
        <v>개소</v>
      </c>
      <c r="E21" s="146">
        <f>'2.고정구단가산출'!I13</f>
        <v>3</v>
      </c>
      <c r="F21" s="147" t="e">
        <f>'2.고정구단가산출'!V13</f>
        <v>#REF!</v>
      </c>
      <c r="G21" s="148" t="e">
        <f>F21*E21</f>
        <v>#REF!</v>
      </c>
      <c r="H21" s="156" t="e">
        <f>'2.고정구단가산출'!K13</f>
        <v>#REF!</v>
      </c>
      <c r="I21" s="157" t="e">
        <f>'2.고정구단가산출'!P13</f>
        <v>#REF!</v>
      </c>
      <c r="K21" s="15"/>
      <c r="U21"/>
    </row>
    <row r="22" spans="1:21" ht="24" customHeight="1">
      <c r="A22" s="143">
        <f t="shared" ref="A22:A53" si="0">A21+1</f>
        <v>2</v>
      </c>
      <c r="B22" s="144">
        <f>'2.고정구단가산출'!F14</f>
        <v>0</v>
      </c>
      <c r="C22" s="145">
        <f>'2.고정구단가산출'!G14</f>
        <v>0</v>
      </c>
      <c r="D22" s="145">
        <f>'2.고정구단가산출'!H14</f>
        <v>0</v>
      </c>
      <c r="E22" s="146">
        <f>'2.고정구단가산출'!I14</f>
        <v>0</v>
      </c>
      <c r="F22" s="147" t="e">
        <f>'2.고정구단가산출'!V14</f>
        <v>#REF!</v>
      </c>
      <c r="G22" s="148" t="e">
        <f t="shared" ref="G22:G28" si="1">F22*E22</f>
        <v>#REF!</v>
      </c>
      <c r="H22" s="156" t="e">
        <f>'2.고정구단가산출'!K14</f>
        <v>#REF!</v>
      </c>
      <c r="I22" s="157" t="e">
        <f>'2.고정구단가산출'!P14</f>
        <v>#REF!</v>
      </c>
      <c r="K22" s="15"/>
      <c r="U22"/>
    </row>
    <row r="23" spans="1:21" ht="24" customHeight="1">
      <c r="A23" s="143">
        <f t="shared" si="0"/>
        <v>3</v>
      </c>
      <c r="B23" s="144">
        <f>'2.고정구단가산출'!F15</f>
        <v>0</v>
      </c>
      <c r="C23" s="145">
        <f>'2.고정구단가산출'!G15</f>
        <v>0</v>
      </c>
      <c r="D23" s="145">
        <f>'2.고정구단가산출'!H15</f>
        <v>0</v>
      </c>
      <c r="E23" s="146">
        <f>'2.고정구단가산출'!I15</f>
        <v>0</v>
      </c>
      <c r="F23" s="147" t="e">
        <f>'2.고정구단가산출'!V15</f>
        <v>#REF!</v>
      </c>
      <c r="G23" s="148" t="e">
        <f t="shared" si="1"/>
        <v>#REF!</v>
      </c>
      <c r="H23" s="156" t="e">
        <f>'2.고정구단가산출'!K15</f>
        <v>#REF!</v>
      </c>
      <c r="I23" s="157" t="e">
        <f>'2.고정구단가산출'!P15</f>
        <v>#REF!</v>
      </c>
      <c r="K23" s="15"/>
      <c r="U23"/>
    </row>
    <row r="24" spans="1:21" ht="24" customHeight="1">
      <c r="A24" s="143">
        <f t="shared" si="0"/>
        <v>4</v>
      </c>
      <c r="B24" s="144">
        <f>'2.고정구단가산출'!F16</f>
        <v>0</v>
      </c>
      <c r="C24" s="145">
        <f>'2.고정구단가산출'!G16</f>
        <v>0</v>
      </c>
      <c r="D24" s="145">
        <f>'2.고정구단가산출'!H16</f>
        <v>0</v>
      </c>
      <c r="E24" s="146">
        <f>'2.고정구단가산출'!I16</f>
        <v>0</v>
      </c>
      <c r="F24" s="147" t="e">
        <f>'2.고정구단가산출'!V16</f>
        <v>#REF!</v>
      </c>
      <c r="G24" s="148" t="e">
        <f t="shared" si="1"/>
        <v>#REF!</v>
      </c>
      <c r="H24" s="156" t="e">
        <f>'2.고정구단가산출'!K16</f>
        <v>#REF!</v>
      </c>
      <c r="I24" s="157" t="e">
        <f>'2.고정구단가산출'!P16</f>
        <v>#REF!</v>
      </c>
      <c r="K24" s="15"/>
      <c r="U24"/>
    </row>
    <row r="25" spans="1:21" ht="24" customHeight="1">
      <c r="A25" s="143">
        <f t="shared" si="0"/>
        <v>5</v>
      </c>
      <c r="B25" s="144">
        <f>'2.고정구단가산출'!F17</f>
        <v>0</v>
      </c>
      <c r="C25" s="145">
        <f>'2.고정구단가산출'!G17</f>
        <v>0</v>
      </c>
      <c r="D25" s="145">
        <f>'2.고정구단가산출'!H17</f>
        <v>0</v>
      </c>
      <c r="E25" s="146">
        <f>'2.고정구단가산출'!I17</f>
        <v>0</v>
      </c>
      <c r="F25" s="147" t="e">
        <f>'2.고정구단가산출'!V17</f>
        <v>#REF!</v>
      </c>
      <c r="G25" s="148" t="e">
        <f t="shared" si="1"/>
        <v>#REF!</v>
      </c>
      <c r="H25" s="156" t="e">
        <f>'2.고정구단가산출'!K17</f>
        <v>#REF!</v>
      </c>
      <c r="I25" s="157" t="e">
        <f>'2.고정구단가산출'!P17</f>
        <v>#REF!</v>
      </c>
      <c r="K25" s="15"/>
      <c r="U25"/>
    </row>
    <row r="26" spans="1:21" ht="24" customHeight="1">
      <c r="A26" s="143">
        <f t="shared" si="0"/>
        <v>6</v>
      </c>
      <c r="B26" s="144">
        <f>'2.고정구단가산출'!F18</f>
        <v>0</v>
      </c>
      <c r="C26" s="145">
        <f>'2.고정구단가산출'!G18</f>
        <v>0</v>
      </c>
      <c r="D26" s="145">
        <f>'2.고정구단가산출'!H18</f>
        <v>0</v>
      </c>
      <c r="E26" s="146">
        <f>'2.고정구단가산출'!I18</f>
        <v>0</v>
      </c>
      <c r="F26" s="147" t="e">
        <f>'2.고정구단가산출'!V18</f>
        <v>#REF!</v>
      </c>
      <c r="G26" s="148" t="e">
        <f t="shared" si="1"/>
        <v>#REF!</v>
      </c>
      <c r="H26" s="156" t="e">
        <f>'2.고정구단가산출'!K18</f>
        <v>#REF!</v>
      </c>
      <c r="I26" s="157" t="e">
        <f>'2.고정구단가산출'!P18</f>
        <v>#REF!</v>
      </c>
      <c r="K26" s="15"/>
      <c r="U26"/>
    </row>
    <row r="27" spans="1:21" ht="24" customHeight="1">
      <c r="A27" s="143">
        <f t="shared" si="0"/>
        <v>7</v>
      </c>
      <c r="B27" s="144">
        <f>'2.고정구단가산출'!F19</f>
        <v>0</v>
      </c>
      <c r="C27" s="145">
        <f>'2.고정구단가산출'!G19</f>
        <v>0</v>
      </c>
      <c r="D27" s="145">
        <f>'2.고정구단가산출'!H19</f>
        <v>0</v>
      </c>
      <c r="E27" s="146">
        <f>'2.고정구단가산출'!I19</f>
        <v>0</v>
      </c>
      <c r="F27" s="147" t="e">
        <f>'2.고정구단가산출'!V19</f>
        <v>#REF!</v>
      </c>
      <c r="G27" s="148" t="e">
        <f t="shared" si="1"/>
        <v>#REF!</v>
      </c>
      <c r="H27" s="156" t="e">
        <f>'2.고정구단가산출'!K19</f>
        <v>#REF!</v>
      </c>
      <c r="I27" s="157" t="e">
        <f>'2.고정구단가산출'!P19</f>
        <v>#REF!</v>
      </c>
      <c r="K27" s="15"/>
      <c r="U27"/>
    </row>
    <row r="28" spans="1:21" ht="24" customHeight="1">
      <c r="A28" s="143">
        <f t="shared" si="0"/>
        <v>8</v>
      </c>
      <c r="B28" s="144">
        <f>'2.고정구단가산출'!F20</f>
        <v>0</v>
      </c>
      <c r="C28" s="145">
        <f>'2.고정구단가산출'!G20</f>
        <v>0</v>
      </c>
      <c r="D28" s="145">
        <f>'2.고정구단가산출'!H20</f>
        <v>0</v>
      </c>
      <c r="E28" s="146">
        <f>'2.고정구단가산출'!I20</f>
        <v>0</v>
      </c>
      <c r="F28" s="147" t="e">
        <f>'2.고정구단가산출'!V20</f>
        <v>#REF!</v>
      </c>
      <c r="G28" s="148" t="e">
        <f t="shared" si="1"/>
        <v>#REF!</v>
      </c>
      <c r="H28" s="156" t="e">
        <f>'2.고정구단가산출'!K20</f>
        <v>#REF!</v>
      </c>
      <c r="I28" s="157" t="e">
        <f>'2.고정구단가산출'!P20</f>
        <v>#REF!</v>
      </c>
      <c r="K28" s="15"/>
      <c r="U28"/>
    </row>
    <row r="29" spans="1:21" ht="24" customHeight="1">
      <c r="A29" s="143">
        <f t="shared" si="0"/>
        <v>9</v>
      </c>
      <c r="B29" s="144">
        <f>'2.고정구단가산출'!F21</f>
        <v>0</v>
      </c>
      <c r="C29" s="145">
        <f>'2.고정구단가산출'!G21</f>
        <v>0</v>
      </c>
      <c r="D29" s="145">
        <f>'2.고정구단가산출'!H21</f>
        <v>0</v>
      </c>
      <c r="E29" s="146">
        <f>'2.고정구단가산출'!I21</f>
        <v>0</v>
      </c>
      <c r="F29" s="147" t="e">
        <f>'2.고정구단가산출'!V21</f>
        <v>#REF!</v>
      </c>
      <c r="G29" s="148" t="e">
        <f t="shared" ref="G29:G49" si="2">F29*E29</f>
        <v>#REF!</v>
      </c>
      <c r="H29" s="156"/>
      <c r="I29" s="157" t="e">
        <f>'2.고정구단가산출'!P21</f>
        <v>#REF!</v>
      </c>
      <c r="K29" s="15"/>
      <c r="U29"/>
    </row>
    <row r="30" spans="1:21" ht="24" customHeight="1">
      <c r="A30" s="143">
        <f t="shared" si="0"/>
        <v>10</v>
      </c>
      <c r="B30" s="144">
        <f>'2.고정구단가산출'!F22</f>
        <v>0</v>
      </c>
      <c r="C30" s="145">
        <f>'2.고정구단가산출'!G22</f>
        <v>0</v>
      </c>
      <c r="D30" s="145">
        <f>'2.고정구단가산출'!H22</f>
        <v>0</v>
      </c>
      <c r="E30" s="146">
        <f>'2.고정구단가산출'!I22</f>
        <v>0</v>
      </c>
      <c r="F30" s="147" t="e">
        <f>'2.고정구단가산출'!V22</f>
        <v>#REF!</v>
      </c>
      <c r="G30" s="148" t="e">
        <f t="shared" si="2"/>
        <v>#REF!</v>
      </c>
      <c r="H30" s="156"/>
      <c r="I30" s="157" t="e">
        <f>'2.고정구단가산출'!P22</f>
        <v>#REF!</v>
      </c>
      <c r="K30" s="15"/>
      <c r="U30"/>
    </row>
    <row r="31" spans="1:21" ht="24" customHeight="1">
      <c r="A31" s="143">
        <f t="shared" si="0"/>
        <v>11</v>
      </c>
      <c r="B31" s="144">
        <f>'2.고정구단가산출'!F23</f>
        <v>0</v>
      </c>
      <c r="C31" s="145">
        <f>'2.고정구단가산출'!G23</f>
        <v>0</v>
      </c>
      <c r="D31" s="145">
        <f>'2.고정구단가산출'!H23</f>
        <v>0</v>
      </c>
      <c r="E31" s="146">
        <f>'2.고정구단가산출'!I23</f>
        <v>0</v>
      </c>
      <c r="F31" s="147" t="e">
        <f>'2.고정구단가산출'!V23</f>
        <v>#REF!</v>
      </c>
      <c r="G31" s="148" t="e">
        <f t="shared" si="2"/>
        <v>#REF!</v>
      </c>
      <c r="H31" s="156"/>
      <c r="I31" s="157" t="e">
        <f>'2.고정구단가산출'!P23</f>
        <v>#REF!</v>
      </c>
      <c r="K31" s="15"/>
      <c r="U31"/>
    </row>
    <row r="32" spans="1:21" ht="24" customHeight="1">
      <c r="A32" s="143">
        <f t="shared" si="0"/>
        <v>12</v>
      </c>
      <c r="B32" s="144">
        <f>'2.고정구단가산출'!F24</f>
        <v>0</v>
      </c>
      <c r="C32" s="145">
        <f>'2.고정구단가산출'!G24</f>
        <v>0</v>
      </c>
      <c r="D32" s="145">
        <f>'2.고정구단가산출'!H24</f>
        <v>0</v>
      </c>
      <c r="E32" s="146">
        <f>'2.고정구단가산출'!I24</f>
        <v>0</v>
      </c>
      <c r="F32" s="147" t="e">
        <f>'2.고정구단가산출'!V24</f>
        <v>#REF!</v>
      </c>
      <c r="G32" s="148" t="e">
        <f t="shared" si="2"/>
        <v>#REF!</v>
      </c>
      <c r="H32" s="156"/>
      <c r="I32" s="157" t="e">
        <f>'2.고정구단가산출'!P24</f>
        <v>#REF!</v>
      </c>
      <c r="K32" s="15"/>
      <c r="U32"/>
    </row>
    <row r="33" spans="1:21" ht="24" customHeight="1">
      <c r="A33" s="143">
        <f t="shared" si="0"/>
        <v>13</v>
      </c>
      <c r="B33" s="144">
        <f>'2.고정구단가산출'!F25</f>
        <v>0</v>
      </c>
      <c r="C33" s="145">
        <f>'2.고정구단가산출'!G25</f>
        <v>0</v>
      </c>
      <c r="D33" s="145">
        <f>'2.고정구단가산출'!H25</f>
        <v>0</v>
      </c>
      <c r="E33" s="146">
        <f>'2.고정구단가산출'!I25</f>
        <v>0</v>
      </c>
      <c r="F33" s="147" t="e">
        <f>'2.고정구단가산출'!V25</f>
        <v>#REF!</v>
      </c>
      <c r="G33" s="148" t="e">
        <f t="shared" si="2"/>
        <v>#REF!</v>
      </c>
      <c r="H33" s="156"/>
      <c r="I33" s="157" t="e">
        <f>'2.고정구단가산출'!P25</f>
        <v>#REF!</v>
      </c>
      <c r="K33" s="15"/>
      <c r="U33"/>
    </row>
    <row r="34" spans="1:21" ht="24" customHeight="1">
      <c r="A34" s="143">
        <f t="shared" si="0"/>
        <v>14</v>
      </c>
      <c r="B34" s="144">
        <f>'2.고정구단가산출'!F26</f>
        <v>0</v>
      </c>
      <c r="C34" s="145">
        <f>'2.고정구단가산출'!G26</f>
        <v>0</v>
      </c>
      <c r="D34" s="145">
        <f>'2.고정구단가산출'!H26</f>
        <v>0</v>
      </c>
      <c r="E34" s="146">
        <f>'2.고정구단가산출'!I26</f>
        <v>0</v>
      </c>
      <c r="F34" s="147" t="e">
        <f>'2.고정구단가산출'!V26</f>
        <v>#REF!</v>
      </c>
      <c r="G34" s="148" t="e">
        <f t="shared" si="2"/>
        <v>#REF!</v>
      </c>
      <c r="H34" s="156"/>
      <c r="I34" s="157" t="e">
        <f>'2.고정구단가산출'!P26</f>
        <v>#REF!</v>
      </c>
      <c r="K34" s="15"/>
      <c r="U34"/>
    </row>
    <row r="35" spans="1:21" ht="24" customHeight="1">
      <c r="A35" s="143">
        <f t="shared" si="0"/>
        <v>15</v>
      </c>
      <c r="B35" s="144">
        <f>'2.고정구단가산출'!F27</f>
        <v>0</v>
      </c>
      <c r="C35" s="145">
        <f>'2.고정구단가산출'!G27</f>
        <v>0</v>
      </c>
      <c r="D35" s="145">
        <f>'2.고정구단가산출'!H27</f>
        <v>0</v>
      </c>
      <c r="E35" s="146">
        <f>'2.고정구단가산출'!I27</f>
        <v>0</v>
      </c>
      <c r="F35" s="147" t="e">
        <f>'2.고정구단가산출'!V27</f>
        <v>#REF!</v>
      </c>
      <c r="G35" s="148" t="e">
        <f t="shared" si="2"/>
        <v>#REF!</v>
      </c>
      <c r="H35" s="156" t="e">
        <f>'2.고정구단가산출'!K27</f>
        <v>#REF!</v>
      </c>
      <c r="I35" s="157" t="e">
        <f>'2.고정구단가산출'!P27</f>
        <v>#REF!</v>
      </c>
      <c r="K35" s="15"/>
      <c r="U35"/>
    </row>
    <row r="36" spans="1:21" ht="24" customHeight="1">
      <c r="A36" s="143">
        <f t="shared" si="0"/>
        <v>16</v>
      </c>
      <c r="B36" s="144">
        <f>'2.고정구단가산출'!F28</f>
        <v>0</v>
      </c>
      <c r="C36" s="145">
        <f>'2.고정구단가산출'!G28</f>
        <v>0</v>
      </c>
      <c r="D36" s="145">
        <f>'2.고정구단가산출'!H28</f>
        <v>0</v>
      </c>
      <c r="E36" s="146">
        <f>'2.고정구단가산출'!I28</f>
        <v>0</v>
      </c>
      <c r="F36" s="147" t="e">
        <f>'2.고정구단가산출'!V28</f>
        <v>#REF!</v>
      </c>
      <c r="G36" s="148" t="e">
        <f t="shared" si="2"/>
        <v>#REF!</v>
      </c>
      <c r="H36" s="156" t="e">
        <f>'2.고정구단가산출'!K28</f>
        <v>#REF!</v>
      </c>
      <c r="I36" s="157" t="e">
        <f>'2.고정구단가산출'!P28</f>
        <v>#REF!</v>
      </c>
      <c r="K36" s="15"/>
      <c r="U36"/>
    </row>
    <row r="37" spans="1:21" ht="24" customHeight="1">
      <c r="A37" s="143">
        <f t="shared" si="0"/>
        <v>17</v>
      </c>
      <c r="B37" s="144">
        <f>'2.고정구단가산출'!F29</f>
        <v>0</v>
      </c>
      <c r="C37" s="145">
        <f>'2.고정구단가산출'!G29</f>
        <v>0</v>
      </c>
      <c r="D37" s="145">
        <f>'2.고정구단가산출'!H29</f>
        <v>0</v>
      </c>
      <c r="E37" s="146">
        <f>'2.고정구단가산출'!I29</f>
        <v>0</v>
      </c>
      <c r="F37" s="147" t="e">
        <f>'2.고정구단가산출'!V29</f>
        <v>#REF!</v>
      </c>
      <c r="G37" s="148" t="e">
        <f t="shared" si="2"/>
        <v>#REF!</v>
      </c>
      <c r="H37" s="156" t="e">
        <f>'2.고정구단가산출'!K29</f>
        <v>#REF!</v>
      </c>
      <c r="I37" s="157" t="e">
        <f>'2.고정구단가산출'!P29</f>
        <v>#REF!</v>
      </c>
      <c r="K37" s="15"/>
      <c r="U37"/>
    </row>
    <row r="38" spans="1:21" ht="24" customHeight="1">
      <c r="A38" s="143">
        <f t="shared" si="0"/>
        <v>18</v>
      </c>
      <c r="B38" s="144">
        <f>'2.고정구단가산출'!F30</f>
        <v>0</v>
      </c>
      <c r="C38" s="145">
        <f>'2.고정구단가산출'!G30</f>
        <v>0</v>
      </c>
      <c r="D38" s="145">
        <f>'2.고정구단가산출'!H30</f>
        <v>0</v>
      </c>
      <c r="E38" s="146">
        <f>'2.고정구단가산출'!I30</f>
        <v>0</v>
      </c>
      <c r="F38" s="147" t="e">
        <f>'2.고정구단가산출'!V30</f>
        <v>#REF!</v>
      </c>
      <c r="G38" s="148" t="e">
        <f t="shared" si="2"/>
        <v>#REF!</v>
      </c>
      <c r="H38" s="156" t="e">
        <f>'2.고정구단가산출'!K30</f>
        <v>#REF!</v>
      </c>
      <c r="I38" s="157" t="e">
        <f>'2.고정구단가산출'!P30</f>
        <v>#REF!</v>
      </c>
      <c r="K38" s="15"/>
      <c r="U38"/>
    </row>
    <row r="39" spans="1:21" ht="24" customHeight="1">
      <c r="A39" s="143">
        <f t="shared" si="0"/>
        <v>19</v>
      </c>
      <c r="B39" s="144">
        <f>'2.고정구단가산출'!F31</f>
        <v>0</v>
      </c>
      <c r="C39" s="145">
        <f>'2.고정구단가산출'!G31</f>
        <v>0</v>
      </c>
      <c r="D39" s="145">
        <f>'2.고정구단가산출'!H31</f>
        <v>0</v>
      </c>
      <c r="E39" s="146">
        <f>'2.고정구단가산출'!I31</f>
        <v>0</v>
      </c>
      <c r="F39" s="147" t="e">
        <f>'2.고정구단가산출'!V31</f>
        <v>#REF!</v>
      </c>
      <c r="G39" s="148" t="e">
        <f t="shared" si="2"/>
        <v>#REF!</v>
      </c>
      <c r="H39" s="156" t="e">
        <f>'2.고정구단가산출'!K31</f>
        <v>#REF!</v>
      </c>
      <c r="I39" s="157" t="e">
        <f>'2.고정구단가산출'!P31</f>
        <v>#REF!</v>
      </c>
      <c r="K39" s="15"/>
      <c r="U39"/>
    </row>
    <row r="40" spans="1:21" ht="24" customHeight="1">
      <c r="A40" s="143">
        <f t="shared" si="0"/>
        <v>20</v>
      </c>
      <c r="B40" s="144">
        <f>'2.고정구단가산출'!F32</f>
        <v>0</v>
      </c>
      <c r="C40" s="145">
        <f>'2.고정구단가산출'!G32</f>
        <v>0</v>
      </c>
      <c r="D40" s="145">
        <f>'2.고정구단가산출'!H32</f>
        <v>0</v>
      </c>
      <c r="E40" s="146">
        <f>'2.고정구단가산출'!I32</f>
        <v>0</v>
      </c>
      <c r="F40" s="147" t="e">
        <f>'2.고정구단가산출'!V32</f>
        <v>#REF!</v>
      </c>
      <c r="G40" s="148" t="e">
        <f t="shared" si="2"/>
        <v>#REF!</v>
      </c>
      <c r="H40" s="156"/>
      <c r="I40" s="157"/>
      <c r="K40" s="15"/>
      <c r="U40"/>
    </row>
    <row r="41" spans="1:21" ht="24" customHeight="1">
      <c r="A41" s="143">
        <f t="shared" si="0"/>
        <v>21</v>
      </c>
      <c r="B41" s="144">
        <f>'2.고정구단가산출'!F33</f>
        <v>0</v>
      </c>
      <c r="C41" s="145">
        <f>'2.고정구단가산출'!G33</f>
        <v>0</v>
      </c>
      <c r="D41" s="145">
        <f>'2.고정구단가산출'!H33</f>
        <v>0</v>
      </c>
      <c r="E41" s="146">
        <f>'2.고정구단가산출'!I33</f>
        <v>0</v>
      </c>
      <c r="F41" s="147" t="e">
        <f>'2.고정구단가산출'!V33</f>
        <v>#REF!</v>
      </c>
      <c r="G41" s="148" t="e">
        <f t="shared" si="2"/>
        <v>#REF!</v>
      </c>
      <c r="H41" s="156"/>
      <c r="I41" s="157"/>
      <c r="K41" s="15"/>
      <c r="U41"/>
    </row>
    <row r="42" spans="1:21" ht="24" customHeight="1">
      <c r="A42" s="143">
        <f t="shared" si="0"/>
        <v>22</v>
      </c>
      <c r="B42" s="144">
        <f>'2.고정구단가산출'!F34</f>
        <v>0</v>
      </c>
      <c r="C42" s="145">
        <f>'2.고정구단가산출'!G34</f>
        <v>0</v>
      </c>
      <c r="D42" s="145">
        <f>'2.고정구단가산출'!H34</f>
        <v>0</v>
      </c>
      <c r="E42" s="146">
        <f>'2.고정구단가산출'!I34</f>
        <v>0</v>
      </c>
      <c r="F42" s="147" t="e">
        <f>'2.고정구단가산출'!V34</f>
        <v>#REF!</v>
      </c>
      <c r="G42" s="148" t="e">
        <f t="shared" si="2"/>
        <v>#REF!</v>
      </c>
      <c r="H42" s="156"/>
      <c r="I42" s="157"/>
      <c r="K42" s="15"/>
      <c r="U42"/>
    </row>
    <row r="43" spans="1:21" ht="24" customHeight="1">
      <c r="A43" s="143">
        <f t="shared" si="0"/>
        <v>23</v>
      </c>
      <c r="B43" s="144">
        <f>'2.고정구단가산출'!F35</f>
        <v>0</v>
      </c>
      <c r="C43" s="145">
        <f>'2.고정구단가산출'!G35</f>
        <v>0</v>
      </c>
      <c r="D43" s="145">
        <f>'2.고정구단가산출'!H35</f>
        <v>0</v>
      </c>
      <c r="E43" s="146">
        <f>'2.고정구단가산출'!I35</f>
        <v>0</v>
      </c>
      <c r="F43" s="147" t="e">
        <f>'2.고정구단가산출'!V35</f>
        <v>#REF!</v>
      </c>
      <c r="G43" s="148" t="e">
        <f t="shared" si="2"/>
        <v>#REF!</v>
      </c>
      <c r="H43" s="156"/>
      <c r="I43" s="157"/>
      <c r="K43" s="15"/>
      <c r="U43"/>
    </row>
    <row r="44" spans="1:21" ht="24" customHeight="1">
      <c r="A44" s="143">
        <f t="shared" si="0"/>
        <v>24</v>
      </c>
      <c r="B44" s="144">
        <f>'2.고정구단가산출'!F36</f>
        <v>0</v>
      </c>
      <c r="C44" s="145">
        <f>'2.고정구단가산출'!G36</f>
        <v>0</v>
      </c>
      <c r="D44" s="145">
        <f>'2.고정구단가산출'!H36</f>
        <v>0</v>
      </c>
      <c r="E44" s="146">
        <f>'2.고정구단가산출'!I36</f>
        <v>0</v>
      </c>
      <c r="F44" s="147" t="e">
        <f>'2.고정구단가산출'!V36</f>
        <v>#REF!</v>
      </c>
      <c r="G44" s="148" t="e">
        <f t="shared" si="2"/>
        <v>#REF!</v>
      </c>
      <c r="H44" s="156"/>
      <c r="I44" s="157"/>
      <c r="K44" s="15"/>
      <c r="U44"/>
    </row>
    <row r="45" spans="1:21" ht="24" customHeight="1">
      <c r="A45" s="143">
        <f t="shared" si="0"/>
        <v>25</v>
      </c>
      <c r="B45" s="144">
        <f>'2.고정구단가산출'!F37</f>
        <v>0</v>
      </c>
      <c r="C45" s="145">
        <f>'2.고정구단가산출'!G37</f>
        <v>0</v>
      </c>
      <c r="D45" s="145">
        <f>'2.고정구단가산출'!H37</f>
        <v>0</v>
      </c>
      <c r="E45" s="146">
        <f>'2.고정구단가산출'!I37</f>
        <v>0</v>
      </c>
      <c r="F45" s="147" t="e">
        <f>'2.고정구단가산출'!V37</f>
        <v>#REF!</v>
      </c>
      <c r="G45" s="148" t="e">
        <f t="shared" si="2"/>
        <v>#REF!</v>
      </c>
      <c r="H45" s="156"/>
      <c r="I45" s="157"/>
      <c r="K45" s="15"/>
      <c r="U45"/>
    </row>
    <row r="46" spans="1:21" ht="24" customHeight="1">
      <c r="A46" s="143">
        <f t="shared" si="0"/>
        <v>26</v>
      </c>
      <c r="B46" s="144">
        <f>'2.고정구단가산출'!F38</f>
        <v>0</v>
      </c>
      <c r="C46" s="145">
        <f>'2.고정구단가산출'!G38</f>
        <v>0</v>
      </c>
      <c r="D46" s="145">
        <f>'2.고정구단가산출'!H38</f>
        <v>0</v>
      </c>
      <c r="E46" s="146">
        <f>'2.고정구단가산출'!I38</f>
        <v>0</v>
      </c>
      <c r="F46" s="147" t="e">
        <f>'2.고정구단가산출'!V38</f>
        <v>#REF!</v>
      </c>
      <c r="G46" s="148" t="e">
        <f t="shared" si="2"/>
        <v>#REF!</v>
      </c>
      <c r="H46" s="156" t="e">
        <f>'2.고정구단가산출'!K38</f>
        <v>#REF!</v>
      </c>
      <c r="I46" s="157"/>
      <c r="K46" s="15"/>
      <c r="U46"/>
    </row>
    <row r="47" spans="1:21" ht="24" customHeight="1">
      <c r="A47" s="143">
        <f t="shared" si="0"/>
        <v>27</v>
      </c>
      <c r="B47" s="144">
        <f>'2.고정구단가산출'!F39</f>
        <v>0</v>
      </c>
      <c r="C47" s="145">
        <f>'2.고정구단가산출'!G39</f>
        <v>0</v>
      </c>
      <c r="D47" s="145">
        <f>'2.고정구단가산출'!H39</f>
        <v>0</v>
      </c>
      <c r="E47" s="146">
        <f>'2.고정구단가산출'!I39</f>
        <v>0</v>
      </c>
      <c r="F47" s="147" t="e">
        <f>'2.고정구단가산출'!V39</f>
        <v>#REF!</v>
      </c>
      <c r="G47" s="148" t="e">
        <f t="shared" si="2"/>
        <v>#REF!</v>
      </c>
      <c r="H47" s="156"/>
      <c r="I47" s="157" t="e">
        <f>'2.고정구단가산출'!P39</f>
        <v>#REF!</v>
      </c>
      <c r="K47" s="15"/>
      <c r="U47"/>
    </row>
    <row r="48" spans="1:21" ht="24" customHeight="1">
      <c r="A48" s="143">
        <f t="shared" si="0"/>
        <v>28</v>
      </c>
      <c r="B48" s="144">
        <f>'2.고정구단가산출'!F40</f>
        <v>0</v>
      </c>
      <c r="C48" s="145">
        <f>'2.고정구단가산출'!G40</f>
        <v>0</v>
      </c>
      <c r="D48" s="145">
        <f>'2.고정구단가산출'!H40</f>
        <v>0</v>
      </c>
      <c r="E48" s="146">
        <f>'2.고정구단가산출'!I40</f>
        <v>0</v>
      </c>
      <c r="F48" s="147" t="e">
        <f>'2.고정구단가산출'!V40</f>
        <v>#REF!</v>
      </c>
      <c r="G48" s="148" t="e">
        <f t="shared" si="2"/>
        <v>#REF!</v>
      </c>
      <c r="H48" s="156" t="e">
        <f>'2.고정구단가산출'!K40</f>
        <v>#REF!</v>
      </c>
      <c r="I48" s="157"/>
      <c r="K48" s="15"/>
      <c r="U48"/>
    </row>
    <row r="49" spans="1:21" ht="24" customHeight="1">
      <c r="A49" s="143">
        <f t="shared" si="0"/>
        <v>29</v>
      </c>
      <c r="B49" s="144">
        <f>'2.고정구단가산출'!F41</f>
        <v>0</v>
      </c>
      <c r="C49" s="145">
        <f>'2.고정구단가산출'!G41</f>
        <v>0</v>
      </c>
      <c r="D49" s="145">
        <f>'2.고정구단가산출'!H41</f>
        <v>0</v>
      </c>
      <c r="E49" s="146">
        <f>'2.고정구단가산출'!I41</f>
        <v>0</v>
      </c>
      <c r="F49" s="147" t="e">
        <f>'2.고정구단가산출'!V41</f>
        <v>#REF!</v>
      </c>
      <c r="G49" s="148" t="e">
        <f t="shared" si="2"/>
        <v>#REF!</v>
      </c>
      <c r="H49" s="156" t="e">
        <f>'2.고정구단가산출'!K41</f>
        <v>#REF!</v>
      </c>
      <c r="I49" s="157"/>
      <c r="K49" s="15"/>
      <c r="U49"/>
    </row>
    <row r="50" spans="1:21" ht="24" customHeight="1">
      <c r="A50" s="143" t="e">
        <f>#REF!+1</f>
        <v>#REF!</v>
      </c>
      <c r="B50" s="144"/>
      <c r="C50" s="145"/>
      <c r="D50" s="145"/>
      <c r="E50" s="146"/>
      <c r="F50" s="147"/>
      <c r="G50" s="148"/>
      <c r="H50" s="156"/>
      <c r="I50" s="158"/>
      <c r="K50" s="15"/>
      <c r="U50"/>
    </row>
    <row r="51" spans="1:21" ht="24" customHeight="1">
      <c r="A51" s="143" t="e">
        <f t="shared" si="0"/>
        <v>#REF!</v>
      </c>
      <c r="B51" s="144"/>
      <c r="C51" s="145"/>
      <c r="D51" s="145"/>
      <c r="E51" s="146"/>
      <c r="F51" s="147"/>
      <c r="G51" s="148"/>
      <c r="H51" s="156"/>
      <c r="I51" s="157"/>
      <c r="K51" s="15"/>
      <c r="U51"/>
    </row>
    <row r="52" spans="1:21" ht="24" customHeight="1">
      <c r="A52" s="143" t="e">
        <f t="shared" si="0"/>
        <v>#REF!</v>
      </c>
      <c r="B52" s="145" t="s">
        <v>36</v>
      </c>
      <c r="C52" s="145"/>
      <c r="D52" s="145"/>
      <c r="E52" s="146">
        <v>1</v>
      </c>
      <c r="F52" s="147"/>
      <c r="G52" s="148">
        <f>E52*F52</f>
        <v>0</v>
      </c>
      <c r="H52" s="156"/>
      <c r="I52" s="157"/>
      <c r="K52" s="15"/>
      <c r="U52"/>
    </row>
    <row r="53" spans="1:21" ht="24" customHeight="1">
      <c r="A53" s="143" t="e">
        <f t="shared" si="0"/>
        <v>#REF!</v>
      </c>
      <c r="B53" s="145" t="s">
        <v>18</v>
      </c>
      <c r="C53" s="149"/>
      <c r="D53" s="149"/>
      <c r="E53" s="146"/>
      <c r="F53" s="150"/>
      <c r="G53" s="151" t="e">
        <f>SUM(G21:G52)</f>
        <v>#REF!</v>
      </c>
      <c r="H53" s="156"/>
      <c r="I53" s="157"/>
      <c r="K53" s="15"/>
      <c r="U53"/>
    </row>
    <row r="54" spans="1:21" ht="24" customHeight="1">
      <c r="A54" s="329" t="s">
        <v>9</v>
      </c>
      <c r="B54" s="329"/>
      <c r="C54" s="329"/>
      <c r="D54" s="329"/>
      <c r="E54" s="329"/>
      <c r="F54" s="329"/>
      <c r="G54" s="329"/>
      <c r="H54" s="329"/>
      <c r="I54" s="159"/>
      <c r="K54" s="15"/>
      <c r="U54"/>
    </row>
    <row r="55" spans="1:21" ht="24" customHeight="1">
      <c r="A55" s="322" t="s">
        <v>43</v>
      </c>
      <c r="B55" s="322"/>
      <c r="C55" s="322"/>
      <c r="D55" s="322"/>
      <c r="E55" s="322"/>
      <c r="F55" s="322"/>
      <c r="G55" s="322"/>
      <c r="H55" s="322"/>
      <c r="I55" s="157"/>
      <c r="K55" s="15"/>
      <c r="U55"/>
    </row>
    <row r="56" spans="1:21" ht="25.25" customHeight="1">
      <c r="A56" s="322" t="s">
        <v>92</v>
      </c>
      <c r="B56" s="322"/>
      <c r="C56" s="322"/>
      <c r="D56" s="322"/>
      <c r="E56" s="322"/>
      <c r="F56" s="322"/>
      <c r="G56" s="322"/>
      <c r="H56" s="322"/>
      <c r="I56" s="157"/>
      <c r="K56" s="15"/>
      <c r="U56"/>
    </row>
    <row r="57" spans="1:21" ht="25.25" customHeight="1">
      <c r="A57" s="328" t="s">
        <v>93</v>
      </c>
      <c r="B57" s="328"/>
      <c r="C57" s="328"/>
      <c r="D57" s="328"/>
      <c r="E57" s="328"/>
      <c r="F57" s="328"/>
      <c r="G57" s="328"/>
      <c r="H57" s="328"/>
      <c r="I57" s="157"/>
      <c r="K57" s="15"/>
      <c r="U57"/>
    </row>
    <row r="58" spans="1:21" ht="25.25" customHeight="1">
      <c r="A58" s="328" t="s">
        <v>94</v>
      </c>
      <c r="B58" s="328"/>
      <c r="C58" s="328"/>
      <c r="D58" s="328"/>
      <c r="E58" s="328"/>
      <c r="F58" s="328"/>
      <c r="G58" s="328"/>
      <c r="H58" s="328"/>
      <c r="I58" s="160"/>
      <c r="K58" s="15"/>
      <c r="U58"/>
    </row>
    <row r="59" spans="1:21" ht="25.25" customHeight="1">
      <c r="A59" s="329" t="s">
        <v>95</v>
      </c>
      <c r="B59" s="329"/>
      <c r="C59" s="329"/>
      <c r="D59" s="329"/>
      <c r="E59" s="329"/>
      <c r="F59" s="329"/>
      <c r="G59" s="329"/>
      <c r="H59" s="329"/>
      <c r="I59" s="160"/>
      <c r="K59" s="15"/>
      <c r="U59"/>
    </row>
    <row r="60" spans="1:21" ht="25.25" customHeight="1">
      <c r="K60" s="15"/>
      <c r="U60"/>
    </row>
  </sheetData>
  <mergeCells count="16">
    <mergeCell ref="A56:H56"/>
    <mergeCell ref="A57:H57"/>
    <mergeCell ref="A58:H58"/>
    <mergeCell ref="A59:H59"/>
    <mergeCell ref="A8:H8"/>
    <mergeCell ref="A9:H9"/>
    <mergeCell ref="A54:H54"/>
    <mergeCell ref="L9:L10"/>
    <mergeCell ref="M9:M10"/>
    <mergeCell ref="P9:P10"/>
    <mergeCell ref="A55:H55"/>
    <mergeCell ref="A2:I2"/>
    <mergeCell ref="A4:I4"/>
    <mergeCell ref="A5:I5"/>
    <mergeCell ref="A6:I6"/>
    <mergeCell ref="A7:I7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9" fitToHeight="0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8BAAD-C3E9-4285-9AA3-A7110FD4E2C2}">
  <sheetPr codeName="Sheet6">
    <tabColor theme="9" tint="0.39997558519241921"/>
    <pageSetUpPr fitToPage="1"/>
  </sheetPr>
  <dimension ref="A1:P26"/>
  <sheetViews>
    <sheetView zoomScale="85" zoomScaleNormal="85" workbookViewId="0">
      <selection activeCell="L23" sqref="L23"/>
    </sheetView>
  </sheetViews>
  <sheetFormatPr baseColWidth="10" defaultColWidth="8.83203125" defaultRowHeight="17"/>
  <cols>
    <col min="1" max="1" width="5.1640625" bestFit="1" customWidth="1"/>
    <col min="2" max="2" width="32.6640625" bestFit="1" customWidth="1"/>
    <col min="3" max="3" width="19.1640625" bestFit="1" customWidth="1"/>
    <col min="4" max="4" width="5.1640625" bestFit="1" customWidth="1"/>
    <col min="5" max="5" width="7.83203125" style="21" bestFit="1" customWidth="1"/>
    <col min="6" max="6" width="10.83203125" style="21" bestFit="1" customWidth="1"/>
    <col min="7" max="7" width="11.6640625" style="27" customWidth="1"/>
    <col min="8" max="8" width="14.83203125" style="27" bestFit="1" customWidth="1"/>
    <col min="9" max="9" width="22.1640625" bestFit="1" customWidth="1"/>
    <col min="10" max="10" width="11" customWidth="1"/>
    <col min="11" max="11" width="10.83203125" bestFit="1" customWidth="1"/>
    <col min="12" max="12" width="32.1640625" bestFit="1" customWidth="1"/>
    <col min="14" max="14" width="41.1640625" bestFit="1" customWidth="1"/>
  </cols>
  <sheetData>
    <row r="1" spans="1:16" ht="25.25" customHeight="1">
      <c r="A1" s="225"/>
      <c r="B1" s="225"/>
      <c r="C1" s="225"/>
      <c r="D1" s="225"/>
      <c r="E1" s="225"/>
      <c r="F1" s="225"/>
      <c r="G1" s="225"/>
      <c r="H1" s="225"/>
      <c r="I1" s="225"/>
    </row>
    <row r="2" spans="1:16" ht="25.25" customHeight="1">
      <c r="A2" s="335" t="s">
        <v>20</v>
      </c>
      <c r="B2" s="336"/>
      <c r="C2" s="336"/>
      <c r="D2" s="336"/>
      <c r="E2" s="336"/>
      <c r="F2" s="336"/>
      <c r="G2" s="336"/>
      <c r="H2" s="336"/>
      <c r="I2" s="336"/>
    </row>
    <row r="3" spans="1:16" ht="25.25" customHeight="1">
      <c r="A3" s="337"/>
      <c r="B3" s="337"/>
      <c r="C3" s="337"/>
      <c r="D3" s="337"/>
      <c r="E3" s="337"/>
      <c r="F3" s="337"/>
      <c r="G3" s="337"/>
      <c r="H3" s="337"/>
      <c r="I3" s="337"/>
    </row>
    <row r="4" spans="1:16" ht="25.25" customHeight="1">
      <c r="A4" s="338" t="s">
        <v>29</v>
      </c>
      <c r="B4" s="338"/>
      <c r="C4" s="338"/>
      <c r="D4" s="338"/>
      <c r="E4" s="338"/>
      <c r="F4" s="338"/>
      <c r="G4" s="338"/>
      <c r="H4" s="338"/>
      <c r="I4" s="338"/>
    </row>
    <row r="5" spans="1:16" ht="25.25" customHeight="1">
      <c r="A5" s="326" t="s">
        <v>41</v>
      </c>
      <c r="B5" s="335"/>
      <c r="C5" s="335"/>
      <c r="D5" s="335"/>
      <c r="E5" s="335"/>
      <c r="F5" s="335"/>
      <c r="G5" s="335"/>
      <c r="H5" s="335"/>
      <c r="I5" s="335"/>
    </row>
    <row r="6" spans="1:16" ht="25.25" customHeight="1">
      <c r="A6" s="327"/>
      <c r="B6" s="327"/>
      <c r="C6" s="327"/>
      <c r="D6" s="327"/>
      <c r="E6" s="327"/>
      <c r="F6" s="327"/>
      <c r="G6" s="327"/>
      <c r="H6" s="327"/>
      <c r="I6" s="327"/>
    </row>
    <row r="7" spans="1:16" ht="2.25" customHeight="1">
      <c r="A7" s="334"/>
      <c r="B7" s="334"/>
      <c r="C7" s="334"/>
      <c r="D7" s="334"/>
      <c r="E7" s="334"/>
      <c r="F7" s="334"/>
      <c r="G7" s="334"/>
      <c r="H7" s="334"/>
      <c r="I7" s="334"/>
    </row>
    <row r="8" spans="1:16">
      <c r="A8" s="225"/>
      <c r="B8" s="225"/>
      <c r="C8" s="225"/>
      <c r="D8" s="225"/>
      <c r="E8" s="225"/>
      <c r="F8" s="225"/>
      <c r="G8" s="225"/>
      <c r="H8" s="225"/>
      <c r="I8" s="225"/>
    </row>
    <row r="9" spans="1:16" ht="19.25" customHeight="1">
      <c r="A9" s="13"/>
      <c r="B9" s="13"/>
      <c r="C9" s="13"/>
      <c r="G9" s="96"/>
      <c r="H9" s="96"/>
      <c r="I9" s="96"/>
    </row>
    <row r="10" spans="1:16" ht="17.5" customHeight="1">
      <c r="A10" s="13"/>
      <c r="B10" s="13"/>
      <c r="C10" s="13"/>
      <c r="D10" s="1"/>
      <c r="G10" s="96"/>
      <c r="H10" s="96"/>
      <c r="I10" s="96"/>
    </row>
    <row r="11" spans="1:16" ht="19.25" customHeight="1">
      <c r="A11" s="10"/>
      <c r="B11" s="10"/>
      <c r="C11" s="6"/>
      <c r="G11" s="26"/>
      <c r="H11" s="26"/>
      <c r="I11" s="25"/>
      <c r="K11" s="343" t="str">
        <f>'1.발주접수'!$C$5</f>
        <v>예시용</v>
      </c>
      <c r="L11" s="344" t="s">
        <v>21</v>
      </c>
      <c r="N11" s="320" t="s">
        <v>22</v>
      </c>
      <c r="O11" s="96"/>
      <c r="P11" s="96"/>
    </row>
    <row r="12" spans="1:16" ht="19.25" customHeight="1">
      <c r="A12" s="10"/>
      <c r="B12" s="10"/>
      <c r="C12" s="8"/>
      <c r="G12" s="26"/>
      <c r="H12" s="26"/>
      <c r="I12" s="25"/>
      <c r="K12" s="343"/>
      <c r="L12" s="344"/>
      <c r="N12" s="320"/>
      <c r="O12" s="96"/>
      <c r="P12" s="96"/>
    </row>
    <row r="13" spans="1:16" ht="19.25" customHeight="1">
      <c r="A13" s="10"/>
      <c r="B13" s="10"/>
      <c r="C13" s="9"/>
      <c r="G13" s="26"/>
      <c r="H13" s="26"/>
      <c r="I13" s="25"/>
      <c r="K13" s="97" t="s">
        <v>31</v>
      </c>
      <c r="L13" s="98" t="str">
        <f>TEXT(L14,"yyyy-mm-dd")</f>
        <v>2026-02-19</v>
      </c>
      <c r="N13" s="101" t="s">
        <v>30</v>
      </c>
      <c r="O13" s="26"/>
      <c r="P13" s="25"/>
    </row>
    <row r="14" spans="1:16" ht="19.25" customHeight="1">
      <c r="H14" s="28"/>
      <c r="I14" s="7"/>
      <c r="K14" s="97" t="s">
        <v>32</v>
      </c>
      <c r="L14" s="99">
        <f>'1.발주접수'!$C$7</f>
        <v>46072</v>
      </c>
      <c r="N14" s="101" t="s">
        <v>24</v>
      </c>
      <c r="O14" s="26"/>
      <c r="P14" s="25"/>
    </row>
    <row r="15" spans="1:16">
      <c r="A15" s="22"/>
      <c r="B15" s="22"/>
      <c r="C15" s="22"/>
      <c r="D15" s="22"/>
      <c r="E15" s="22"/>
      <c r="F15" s="22"/>
      <c r="G15" s="29"/>
      <c r="H15" s="28"/>
      <c r="I15" s="7"/>
      <c r="K15" s="97" t="s">
        <v>33</v>
      </c>
      <c r="L15" s="100" t="str">
        <f>'1.발주접수'!$C$8</f>
        <v>현장명 예시</v>
      </c>
      <c r="N15" s="101" t="s">
        <v>25</v>
      </c>
      <c r="O15" s="26"/>
      <c r="P15" s="25"/>
    </row>
    <row r="16" spans="1:16">
      <c r="A16" s="22"/>
      <c r="B16" s="22"/>
      <c r="C16" s="22"/>
      <c r="D16" s="22"/>
      <c r="E16" s="22"/>
      <c r="F16" s="22"/>
      <c r="G16" s="29"/>
      <c r="H16" s="28"/>
      <c r="I16" s="11"/>
    </row>
    <row r="17" spans="1:10" ht="18">
      <c r="A17" s="333" t="s">
        <v>26</v>
      </c>
      <c r="B17" s="333"/>
      <c r="C17" s="331" t="e">
        <f>"一金"&amp;NUMBERSTRING('3.견적서'!G53,1)&amp;"원정"</f>
        <v>#REF!</v>
      </c>
      <c r="D17" s="331"/>
      <c r="E17" s="331"/>
      <c r="F17" s="331"/>
      <c r="G17" s="331"/>
      <c r="H17" s="332" t="s">
        <v>27</v>
      </c>
      <c r="I17" s="332"/>
    </row>
    <row r="18" spans="1:10">
      <c r="A18" s="20" t="str">
        <f>'3.견적서'!A20</f>
        <v>번호</v>
      </c>
      <c r="B18" s="20" t="str">
        <f>'3.견적서'!B20</f>
        <v>품         목</v>
      </c>
      <c r="C18" s="20" t="str">
        <f>'3.견적서'!C20</f>
        <v>규격
(배관 * 슬리브)</v>
      </c>
      <c r="D18" s="20" t="str">
        <f>'3.견적서'!D20</f>
        <v>단위</v>
      </c>
      <c r="E18" s="20" t="str">
        <f>'3.견적서'!E20</f>
        <v>수량</v>
      </c>
      <c r="F18" s="20" t="str">
        <f>'3.견적서'!F20</f>
        <v>단가</v>
      </c>
      <c r="G18" s="30" t="str">
        <f>'3.견적서'!G20</f>
        <v>금액</v>
      </c>
      <c r="H18" s="341" t="str">
        <f>'3.견적서'!H20</f>
        <v>비고</v>
      </c>
      <c r="I18" s="342"/>
    </row>
    <row r="19" spans="1:10" ht="16.5" customHeight="1">
      <c r="A19" s="18">
        <v>1</v>
      </c>
      <c r="B19" s="19" t="str">
        <f>'3.견적서'!B21</f>
        <v>내화채움구조(벽체,강관용)</v>
      </c>
      <c r="C19" s="19" t="str">
        <f>'3.견적서'!C21</f>
        <v>15*25</v>
      </c>
      <c r="D19" s="19" t="str">
        <f>'3.견적서'!D21</f>
        <v>개소</v>
      </c>
      <c r="E19" s="19">
        <f>'3.견적서'!E21</f>
        <v>3</v>
      </c>
      <c r="F19" s="68" t="e">
        <f>'3.견적서'!F21</f>
        <v>#REF!</v>
      </c>
      <c r="G19" s="31" t="e">
        <f>'3.견적서'!G21</f>
        <v>#REF!</v>
      </c>
      <c r="H19" s="339"/>
      <c r="I19" s="340"/>
    </row>
    <row r="20" spans="1:10" ht="16.5" customHeight="1">
      <c r="A20" s="18">
        <f t="shared" ref="A20:A26" si="0">A19+1</f>
        <v>2</v>
      </c>
      <c r="B20" s="19">
        <f>'3.견적서'!B22</f>
        <v>0</v>
      </c>
      <c r="C20" s="19">
        <f>'3.견적서'!C22</f>
        <v>0</v>
      </c>
      <c r="D20" s="19">
        <f>'3.견적서'!D22</f>
        <v>0</v>
      </c>
      <c r="E20" s="19">
        <f>'3.견적서'!E22</f>
        <v>0</v>
      </c>
      <c r="F20" s="68" t="e">
        <f>'3.견적서'!F22</f>
        <v>#REF!</v>
      </c>
      <c r="G20" s="31" t="e">
        <f>'3.견적서'!G22</f>
        <v>#REF!</v>
      </c>
      <c r="H20" s="339"/>
      <c r="I20" s="340"/>
    </row>
    <row r="21" spans="1:10" ht="17.5" customHeight="1">
      <c r="A21" s="18">
        <f t="shared" si="0"/>
        <v>3</v>
      </c>
      <c r="B21" s="19">
        <f>'3.견적서'!B23</f>
        <v>0</v>
      </c>
      <c r="C21" s="19">
        <f>'3.견적서'!C23</f>
        <v>0</v>
      </c>
      <c r="D21" s="19">
        <f>'3.견적서'!D23</f>
        <v>0</v>
      </c>
      <c r="E21" s="19">
        <f>'3.견적서'!E23</f>
        <v>0</v>
      </c>
      <c r="F21" s="68" t="e">
        <f>'3.견적서'!F23</f>
        <v>#REF!</v>
      </c>
      <c r="G21" s="31" t="e">
        <f>'3.견적서'!G23</f>
        <v>#REF!</v>
      </c>
      <c r="H21" s="339"/>
      <c r="I21" s="340"/>
      <c r="J21" t="s">
        <v>34</v>
      </c>
    </row>
    <row r="22" spans="1:10" ht="17.5" customHeight="1">
      <c r="A22" s="18">
        <f t="shared" si="0"/>
        <v>4</v>
      </c>
      <c r="B22" s="19">
        <f>'3.견적서'!B24</f>
        <v>0</v>
      </c>
      <c r="C22" s="19">
        <f>'3.견적서'!C24</f>
        <v>0</v>
      </c>
      <c r="D22" s="19">
        <f>'3.견적서'!D24</f>
        <v>0</v>
      </c>
      <c r="E22" s="19">
        <f>'3.견적서'!E24</f>
        <v>0</v>
      </c>
      <c r="F22" s="68" t="e">
        <f>'3.견적서'!F24</f>
        <v>#REF!</v>
      </c>
      <c r="G22" s="31" t="e">
        <f>'3.견적서'!G24</f>
        <v>#REF!</v>
      </c>
      <c r="H22" s="339"/>
      <c r="I22" s="340"/>
    </row>
    <row r="23" spans="1:10" ht="17.5" customHeight="1">
      <c r="A23" s="18">
        <f t="shared" si="0"/>
        <v>5</v>
      </c>
      <c r="B23" s="19">
        <f>'3.견적서'!B25</f>
        <v>0</v>
      </c>
      <c r="C23" s="19">
        <f>'3.견적서'!C25</f>
        <v>0</v>
      </c>
      <c r="D23" s="19">
        <f>'3.견적서'!D25</f>
        <v>0</v>
      </c>
      <c r="E23" s="19">
        <f>'3.견적서'!E25</f>
        <v>0</v>
      </c>
      <c r="F23" s="68" t="e">
        <f>'3.견적서'!F25</f>
        <v>#REF!</v>
      </c>
      <c r="G23" s="31" t="e">
        <f>'3.견적서'!G25</f>
        <v>#REF!</v>
      </c>
      <c r="H23" s="339"/>
      <c r="I23" s="340"/>
    </row>
    <row r="24" spans="1:10" ht="17.5" customHeight="1">
      <c r="A24" s="18">
        <f t="shared" si="0"/>
        <v>6</v>
      </c>
      <c r="B24" s="19"/>
      <c r="C24" s="19"/>
      <c r="D24" s="19"/>
      <c r="E24" s="19"/>
      <c r="F24" s="68"/>
      <c r="G24" s="31"/>
      <c r="H24" s="87"/>
      <c r="I24" s="88"/>
    </row>
    <row r="25" spans="1:10">
      <c r="A25" s="18">
        <f t="shared" si="0"/>
        <v>7</v>
      </c>
      <c r="B25" s="19" t="str">
        <f>'3.견적서'!B52</f>
        <v>운임비</v>
      </c>
      <c r="C25" s="19">
        <f>'3.견적서'!C52</f>
        <v>0</v>
      </c>
      <c r="D25" s="19">
        <f>'3.견적서'!D52</f>
        <v>0</v>
      </c>
      <c r="E25" s="19">
        <f>'3.견적서'!E52</f>
        <v>1</v>
      </c>
      <c r="F25" s="68">
        <f>'3.견적서'!F52</f>
        <v>0</v>
      </c>
      <c r="G25" s="31">
        <f>'3.견적서'!G52</f>
        <v>0</v>
      </c>
      <c r="H25" s="87"/>
      <c r="I25" s="88"/>
    </row>
    <row r="26" spans="1:10">
      <c r="A26" s="18">
        <f t="shared" si="0"/>
        <v>8</v>
      </c>
      <c r="B26" s="19" t="str">
        <f>'3.견적서'!B53</f>
        <v>계</v>
      </c>
      <c r="C26" s="19">
        <f>'3.견적서'!C53</f>
        <v>0</v>
      </c>
      <c r="D26" s="19">
        <f>'3.견적서'!D53</f>
        <v>0</v>
      </c>
      <c r="E26" s="19">
        <f>'3.견적서'!E53</f>
        <v>0</v>
      </c>
      <c r="F26" s="68">
        <f>'3.견적서'!F53</f>
        <v>0</v>
      </c>
      <c r="G26" s="31" t="e">
        <f>'3.견적서'!G53</f>
        <v>#REF!</v>
      </c>
      <c r="H26" s="87"/>
      <c r="I26" s="88"/>
    </row>
  </sheetData>
  <mergeCells count="20">
    <mergeCell ref="H21:I21"/>
    <mergeCell ref="H22:I22"/>
    <mergeCell ref="H23:I23"/>
    <mergeCell ref="H18:I18"/>
    <mergeCell ref="N11:N12"/>
    <mergeCell ref="K11:K12"/>
    <mergeCell ref="L11:L12"/>
    <mergeCell ref="H19:I19"/>
    <mergeCell ref="H20:I20"/>
    <mergeCell ref="A1:I1"/>
    <mergeCell ref="A2:I2"/>
    <mergeCell ref="A3:I3"/>
    <mergeCell ref="A4:I4"/>
    <mergeCell ref="A5:I5"/>
    <mergeCell ref="C17:G17"/>
    <mergeCell ref="H17:I17"/>
    <mergeCell ref="A17:B17"/>
    <mergeCell ref="A6:I6"/>
    <mergeCell ref="A7:I7"/>
    <mergeCell ref="A8:I8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62" fitToHeight="0" orientation="portrait" r:id="rId1"/>
  <headerFooter>
    <oddFooter>&amp;L&amp;A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331DB-13A5-452D-ABD5-F59DD632A865}">
  <sheetPr codeName="Sheet7">
    <tabColor rgb="FFFFFF00"/>
    <pageSetUpPr fitToPage="1"/>
  </sheetPr>
  <dimension ref="A1:K33"/>
  <sheetViews>
    <sheetView view="pageBreakPreview" zoomScale="70" zoomScaleNormal="70" zoomScaleSheetLayoutView="70" workbookViewId="0">
      <selection activeCell="O8" sqref="O8"/>
    </sheetView>
  </sheetViews>
  <sheetFormatPr baseColWidth="10" defaultColWidth="8.83203125" defaultRowHeight="17"/>
  <cols>
    <col min="1" max="1" width="5.83203125" customWidth="1"/>
    <col min="2" max="2" width="9.33203125" customWidth="1"/>
    <col min="3" max="3" width="12.33203125" customWidth="1"/>
    <col min="4" max="4" width="24.1640625" bestFit="1" customWidth="1"/>
    <col min="5" max="5" width="15.6640625" customWidth="1"/>
    <col min="6" max="7" width="13.33203125" customWidth="1"/>
    <col min="8" max="8" width="32.5" customWidth="1"/>
  </cols>
  <sheetData>
    <row r="1" spans="1:11" ht="36">
      <c r="A1" s="213" t="s">
        <v>97</v>
      </c>
      <c r="B1" s="213"/>
      <c r="C1" s="213"/>
      <c r="D1" s="213"/>
      <c r="E1" s="213"/>
      <c r="F1" s="213"/>
      <c r="G1" s="213"/>
      <c r="H1" s="213"/>
    </row>
    <row r="2" spans="1:11" ht="19">
      <c r="A2" s="214"/>
      <c r="B2" s="214"/>
      <c r="C2" s="214"/>
      <c r="D2" s="214"/>
      <c r="E2" s="214"/>
      <c r="F2" s="214"/>
      <c r="G2" s="214"/>
      <c r="H2" s="214"/>
    </row>
    <row r="3" spans="1:11" ht="23" thickBot="1">
      <c r="A3" s="215" t="s">
        <v>98</v>
      </c>
      <c r="B3" s="215"/>
      <c r="C3" s="216">
        <f>'1.발주접수'!$C$6</f>
        <v>46058</v>
      </c>
      <c r="D3" s="216"/>
      <c r="E3" s="216"/>
      <c r="F3" s="105" t="s">
        <v>99</v>
      </c>
      <c r="G3" s="217">
        <f>'1.발주접수'!$C$7</f>
        <v>46072</v>
      </c>
      <c r="H3" s="217"/>
    </row>
    <row r="4" spans="1:11" ht="27" customHeight="1">
      <c r="A4" s="218" t="s">
        <v>100</v>
      </c>
      <c r="B4" s="219"/>
      <c r="C4" s="220" t="s">
        <v>101</v>
      </c>
      <c r="D4" s="220"/>
      <c r="E4" s="220"/>
      <c r="F4" s="106" t="s">
        <v>102</v>
      </c>
      <c r="G4" s="221" t="s">
        <v>103</v>
      </c>
      <c r="H4" s="222"/>
    </row>
    <row r="5" spans="1:11" ht="27" customHeight="1">
      <c r="A5" s="191" t="s">
        <v>104</v>
      </c>
      <c r="B5" s="223"/>
      <c r="C5" s="224" t="s">
        <v>105</v>
      </c>
      <c r="D5" s="224"/>
      <c r="E5" s="224"/>
      <c r="F5" s="107" t="s">
        <v>104</v>
      </c>
      <c r="G5" s="205" t="s">
        <v>106</v>
      </c>
      <c r="H5" s="206"/>
    </row>
    <row r="6" spans="1:11" ht="27" customHeight="1">
      <c r="A6" s="200" t="s">
        <v>107</v>
      </c>
      <c r="B6" s="201"/>
      <c r="C6" s="202" t="s">
        <v>108</v>
      </c>
      <c r="D6" s="203"/>
      <c r="E6" s="204"/>
      <c r="F6" s="108" t="s">
        <v>107</v>
      </c>
      <c r="G6" s="205" t="s">
        <v>109</v>
      </c>
      <c r="H6" s="206"/>
    </row>
    <row r="7" spans="1:11" ht="27" customHeight="1" thickBot="1">
      <c r="A7" s="207" t="s">
        <v>110</v>
      </c>
      <c r="B7" s="208"/>
      <c r="C7" s="209" t="s">
        <v>146</v>
      </c>
      <c r="D7" s="209"/>
      <c r="E7" s="210"/>
      <c r="F7" s="109" t="s">
        <v>110</v>
      </c>
      <c r="G7" s="211" t="s">
        <v>111</v>
      </c>
      <c r="H7" s="212"/>
    </row>
    <row r="8" spans="1:11" ht="27" customHeight="1" thickTop="1">
      <c r="A8" s="191" t="s">
        <v>112</v>
      </c>
      <c r="B8" s="110" t="s">
        <v>113</v>
      </c>
      <c r="C8" s="193" t="str">
        <f>'1.발주접수'!$C$8</f>
        <v>현장명 예시</v>
      </c>
      <c r="D8" s="193"/>
      <c r="E8" s="193"/>
      <c r="F8" s="193"/>
      <c r="G8" s="193"/>
      <c r="H8" s="194"/>
    </row>
    <row r="9" spans="1:11" ht="27" customHeight="1">
      <c r="A9" s="191"/>
      <c r="B9" s="110" t="s">
        <v>79</v>
      </c>
      <c r="C9" s="193" t="str">
        <f>'1.발주접수'!$C$10</f>
        <v>주소 예시</v>
      </c>
      <c r="D9" s="193"/>
      <c r="E9" s="193"/>
      <c r="F9" s="193"/>
      <c r="G9" s="193"/>
      <c r="H9" s="194"/>
    </row>
    <row r="10" spans="1:11" ht="27" customHeight="1" thickBot="1">
      <c r="A10" s="192"/>
      <c r="B10" s="111" t="s">
        <v>114</v>
      </c>
      <c r="C10" s="195" t="str">
        <f>'1.발주접수'!$C$11</f>
        <v>인수자 예시</v>
      </c>
      <c r="D10" s="196"/>
      <c r="E10" s="197"/>
      <c r="F10" s="111" t="s">
        <v>115</v>
      </c>
      <c r="G10" s="198" t="str">
        <f>'1.발주접수'!$C$12</f>
        <v>연락처 예시</v>
      </c>
      <c r="H10" s="199"/>
    </row>
    <row r="11" spans="1:11" ht="18" thickBot="1">
      <c r="A11" s="185"/>
      <c r="B11" s="185"/>
      <c r="C11" s="185"/>
      <c r="D11" s="185"/>
      <c r="E11" s="185"/>
      <c r="F11" s="185"/>
      <c r="G11" s="185"/>
      <c r="H11" s="185"/>
    </row>
    <row r="12" spans="1:11" ht="24" customHeight="1">
      <c r="A12" s="186" t="s">
        <v>116</v>
      </c>
      <c r="B12" s="187"/>
      <c r="C12" s="188"/>
      <c r="D12" s="112" t="s">
        <v>117</v>
      </c>
      <c r="E12" s="112" t="s">
        <v>39</v>
      </c>
      <c r="F12" s="112" t="s">
        <v>118</v>
      </c>
      <c r="G12" s="112" t="s">
        <v>119</v>
      </c>
      <c r="H12" s="113" t="s">
        <v>120</v>
      </c>
      <c r="J12" s="114"/>
      <c r="K12" s="114"/>
    </row>
    <row r="13" spans="1:11" ht="24" customHeight="1">
      <c r="A13" s="189" t="str">
        <f>'2.고정구단가산출'!F13</f>
        <v>내화채움구조(벽체,강관용)</v>
      </c>
      <c r="B13" s="190"/>
      <c r="C13" s="190"/>
      <c r="D13" s="115" t="str">
        <f>IFERROR(LEFT('2.고정구단가산출'!G13, FIND("*", '2.고정구단가산출'!G13) - 1), '2.고정구단가산출'!G13)</f>
        <v>15</v>
      </c>
      <c r="E13" s="116" t="str">
        <f>IFERROR(RIGHT('2.고정구단가산출'!G13, LEN('2.고정구단가산출'!G13) - FIND("*", '2.고정구단가산출'!G13)), '2.고정구단가산출'!G13)</f>
        <v>25</v>
      </c>
      <c r="F13" s="116" t="str">
        <f>'2.고정구단가산출'!H13</f>
        <v>개소</v>
      </c>
      <c r="G13" s="117">
        <f>'2.고정구단가산출'!I13</f>
        <v>3</v>
      </c>
      <c r="H13" s="173">
        <f>'2.고정구단가산출'!J13</f>
        <v>0</v>
      </c>
      <c r="J13" s="7"/>
      <c r="K13" s="7"/>
    </row>
    <row r="14" spans="1:11" ht="24" customHeight="1">
      <c r="A14" s="189"/>
      <c r="B14" s="190"/>
      <c r="C14" s="190"/>
      <c r="D14" s="115"/>
      <c r="E14" s="116"/>
      <c r="F14" s="116"/>
      <c r="G14" s="117"/>
      <c r="H14" s="118"/>
      <c r="J14" s="7"/>
      <c r="K14" s="7"/>
    </row>
    <row r="15" spans="1:11" ht="24" customHeight="1">
      <c r="A15" s="189"/>
      <c r="B15" s="190"/>
      <c r="C15" s="190"/>
      <c r="D15" s="116"/>
      <c r="E15" s="116"/>
      <c r="F15" s="116"/>
      <c r="G15" s="117"/>
      <c r="H15" s="118"/>
      <c r="J15" s="7"/>
      <c r="K15" s="7"/>
    </row>
    <row r="16" spans="1:11" ht="24" customHeight="1">
      <c r="A16" s="189"/>
      <c r="B16" s="190"/>
      <c r="C16" s="190"/>
      <c r="D16" s="115"/>
      <c r="E16" s="116"/>
      <c r="F16" s="116"/>
      <c r="G16" s="117"/>
      <c r="H16" s="118"/>
      <c r="J16" s="7"/>
      <c r="K16" s="7"/>
    </row>
    <row r="17" spans="1:11" ht="24" customHeight="1">
      <c r="A17" s="189"/>
      <c r="B17" s="190"/>
      <c r="C17" s="190"/>
      <c r="D17" s="116"/>
      <c r="E17" s="116"/>
      <c r="F17" s="116"/>
      <c r="G17" s="117"/>
      <c r="H17" s="119"/>
      <c r="J17" s="7"/>
      <c r="K17" s="7"/>
    </row>
    <row r="18" spans="1:11" ht="24" customHeight="1">
      <c r="A18" s="189"/>
      <c r="B18" s="190"/>
      <c r="C18" s="190"/>
      <c r="D18" s="116"/>
      <c r="E18" s="116"/>
      <c r="F18" s="116"/>
      <c r="G18" s="117"/>
      <c r="H18" s="119"/>
      <c r="J18" s="7"/>
      <c r="K18" s="7"/>
    </row>
    <row r="19" spans="1:11" ht="24" customHeight="1">
      <c r="A19" s="189"/>
      <c r="B19" s="190"/>
      <c r="C19" s="190"/>
      <c r="D19" s="116"/>
      <c r="E19" s="116"/>
      <c r="F19" s="116"/>
      <c r="G19" s="117"/>
      <c r="H19" s="119"/>
      <c r="J19" s="7"/>
      <c r="K19" s="7"/>
    </row>
    <row r="20" spans="1:11" ht="24" customHeight="1">
      <c r="A20" s="189"/>
      <c r="B20" s="190"/>
      <c r="C20" s="190"/>
      <c r="D20" s="116"/>
      <c r="E20" s="116"/>
      <c r="F20" s="116"/>
      <c r="G20" s="117"/>
      <c r="H20" s="119"/>
      <c r="J20" s="7"/>
      <c r="K20" s="7"/>
    </row>
    <row r="21" spans="1:11" ht="24" customHeight="1">
      <c r="A21" s="180"/>
      <c r="B21" s="181"/>
      <c r="C21" s="182"/>
      <c r="D21" s="116"/>
      <c r="E21" s="116"/>
      <c r="F21" s="116"/>
      <c r="G21" s="117"/>
      <c r="H21" s="119"/>
      <c r="J21" s="7"/>
      <c r="K21" s="7"/>
    </row>
    <row r="22" spans="1:11" ht="24" customHeight="1">
      <c r="A22" s="180"/>
      <c r="B22" s="181"/>
      <c r="C22" s="182"/>
      <c r="D22" s="116"/>
      <c r="E22" s="116"/>
      <c r="F22" s="116"/>
      <c r="G22" s="117"/>
      <c r="H22" s="119"/>
      <c r="J22" s="7"/>
      <c r="K22" s="7"/>
    </row>
    <row r="23" spans="1:11" ht="24" customHeight="1">
      <c r="A23" s="180"/>
      <c r="B23" s="181"/>
      <c r="C23" s="182"/>
      <c r="D23" s="120"/>
      <c r="E23" s="120"/>
      <c r="F23" s="116"/>
      <c r="G23" s="121"/>
      <c r="H23" s="119"/>
      <c r="J23" s="7"/>
      <c r="K23" s="7"/>
    </row>
    <row r="24" spans="1:11" ht="24" customHeight="1">
      <c r="A24" s="180"/>
      <c r="B24" s="181"/>
      <c r="C24" s="182"/>
      <c r="D24" s="116"/>
      <c r="E24" s="116"/>
      <c r="F24" s="116"/>
      <c r="G24" s="117"/>
      <c r="H24" s="119"/>
      <c r="J24" s="7"/>
      <c r="K24" s="7"/>
    </row>
    <row r="25" spans="1:11" ht="24" customHeight="1">
      <c r="A25" s="180"/>
      <c r="B25" s="181"/>
      <c r="C25" s="182"/>
      <c r="D25" s="116"/>
      <c r="E25" s="116"/>
      <c r="F25" s="116"/>
      <c r="G25" s="117"/>
      <c r="H25" s="119"/>
      <c r="J25" s="7"/>
      <c r="K25" s="7"/>
    </row>
    <row r="26" spans="1:11" ht="24" customHeight="1">
      <c r="A26" s="180"/>
      <c r="B26" s="181"/>
      <c r="C26" s="182"/>
      <c r="D26" s="183"/>
      <c r="E26" s="184"/>
      <c r="F26" s="116"/>
      <c r="G26" s="117"/>
      <c r="H26" s="122"/>
      <c r="J26" s="7"/>
      <c r="K26" s="7"/>
    </row>
    <row r="27" spans="1:11" ht="24" customHeight="1">
      <c r="A27" s="180"/>
      <c r="B27" s="181"/>
      <c r="C27" s="182"/>
      <c r="D27" s="183"/>
      <c r="E27" s="184"/>
      <c r="F27" s="116"/>
      <c r="G27" s="117"/>
      <c r="H27" s="122"/>
      <c r="J27" s="7"/>
      <c r="K27" s="7"/>
    </row>
    <row r="28" spans="1:11" ht="24" customHeight="1">
      <c r="A28" s="174"/>
      <c r="B28" s="175"/>
      <c r="C28" s="176"/>
      <c r="D28" s="120"/>
      <c r="E28" s="120"/>
      <c r="F28" s="116"/>
      <c r="G28" s="121"/>
      <c r="H28" s="122"/>
      <c r="J28" s="7"/>
      <c r="K28" s="7"/>
    </row>
    <row r="29" spans="1:11" ht="24" customHeight="1">
      <c r="A29" s="174"/>
      <c r="B29" s="175"/>
      <c r="C29" s="176"/>
      <c r="D29" s="116"/>
      <c r="E29" s="116"/>
      <c r="F29" s="116"/>
      <c r="G29" s="117"/>
      <c r="H29" s="122"/>
      <c r="J29" s="7"/>
      <c r="K29" s="7"/>
    </row>
    <row r="30" spans="1:11" ht="24" customHeight="1">
      <c r="A30" s="174"/>
      <c r="B30" s="175"/>
      <c r="C30" s="176"/>
      <c r="D30" s="116"/>
      <c r="E30" s="116"/>
      <c r="F30" s="116"/>
      <c r="G30" s="117"/>
      <c r="H30" s="122"/>
      <c r="J30" s="7"/>
      <c r="K30" s="7"/>
    </row>
    <row r="31" spans="1:11" ht="24" customHeight="1">
      <c r="A31" s="123"/>
      <c r="B31" s="124"/>
      <c r="C31" s="125"/>
      <c r="D31" s="116"/>
      <c r="E31" s="116"/>
      <c r="F31" s="116"/>
      <c r="G31" s="117"/>
      <c r="H31" s="122"/>
      <c r="J31" s="7"/>
      <c r="K31" s="7"/>
    </row>
    <row r="32" spans="1:11" ht="24" customHeight="1" thickBot="1">
      <c r="A32" s="174"/>
      <c r="B32" s="175"/>
      <c r="C32" s="176"/>
      <c r="D32" s="126"/>
      <c r="E32" s="126"/>
      <c r="F32" s="126"/>
      <c r="G32" s="127"/>
      <c r="H32" s="128"/>
    </row>
    <row r="33" spans="1:8" ht="23" thickBot="1">
      <c r="A33" s="177" t="s">
        <v>121</v>
      </c>
      <c r="B33" s="178"/>
      <c r="C33" s="178"/>
      <c r="D33" s="178"/>
      <c r="E33" s="179"/>
      <c r="F33" s="129">
        <f>SUM(F13:F32)</f>
        <v>0</v>
      </c>
      <c r="G33" s="130">
        <f>SUM(G13:G32)</f>
        <v>3</v>
      </c>
      <c r="H33" s="131"/>
    </row>
  </sheetData>
  <mergeCells count="46">
    <mergeCell ref="A21:C21"/>
    <mergeCell ref="A22:C22"/>
    <mergeCell ref="A23:C23"/>
    <mergeCell ref="A24:C24"/>
    <mergeCell ref="A25:C25"/>
    <mergeCell ref="A16:C16"/>
    <mergeCell ref="A17:C17"/>
    <mergeCell ref="A18:C18"/>
    <mergeCell ref="A19:C19"/>
    <mergeCell ref="A20:C20"/>
    <mergeCell ref="A4:B4"/>
    <mergeCell ref="C4:E4"/>
    <mergeCell ref="G4:H4"/>
    <mergeCell ref="A5:B5"/>
    <mergeCell ref="C5:E5"/>
    <mergeCell ref="G5:H5"/>
    <mergeCell ref="A1:H1"/>
    <mergeCell ref="A2:H2"/>
    <mergeCell ref="A3:B3"/>
    <mergeCell ref="C3:E3"/>
    <mergeCell ref="G3:H3"/>
    <mergeCell ref="A6:B6"/>
    <mergeCell ref="C6:E6"/>
    <mergeCell ref="G6:H6"/>
    <mergeCell ref="A7:B7"/>
    <mergeCell ref="C7:E7"/>
    <mergeCell ref="G7:H7"/>
    <mergeCell ref="A8:A10"/>
    <mergeCell ref="C8:H8"/>
    <mergeCell ref="C9:H9"/>
    <mergeCell ref="C10:E10"/>
    <mergeCell ref="G10:H10"/>
    <mergeCell ref="A11:H11"/>
    <mergeCell ref="A12:C12"/>
    <mergeCell ref="A13:C13"/>
    <mergeCell ref="A14:C14"/>
    <mergeCell ref="A15:C15"/>
    <mergeCell ref="A29:C29"/>
    <mergeCell ref="A30:C30"/>
    <mergeCell ref="A32:C32"/>
    <mergeCell ref="A33:E33"/>
    <mergeCell ref="A26:C26"/>
    <mergeCell ref="D26:E26"/>
    <mergeCell ref="A27:C27"/>
    <mergeCell ref="D27:E27"/>
    <mergeCell ref="A28:C28"/>
  </mergeCells>
  <phoneticPr fontId="2" type="noConversion"/>
  <hyperlinks>
    <hyperlink ref="G7" r:id="rId1" xr:uid="{3932D1A0-4047-4726-9A1D-FA8354D346DC}"/>
    <hyperlink ref="C7" r:id="rId2" xr:uid="{547D2C82-FF6E-4AFD-9AEE-7DE1E16F2553}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64" fitToHeight="0" orientation="portrait" r:id="rId3"/>
  <headerFooter>
    <oddHeader>&amp;R&amp;N/&amp;P</oddHeader>
    <oddFooter>&amp;L&amp;A&amp;R&amp;F</oddFooter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5</vt:i4>
      </vt:variant>
    </vt:vector>
  </HeadingPairs>
  <TitlesOfParts>
    <vt:vector size="11" baseType="lpstr">
      <vt:lpstr>1.발주접수</vt:lpstr>
      <vt:lpstr>2.고정구단가산출</vt:lpstr>
      <vt:lpstr>2-1.고정구단가산출&lt;출력용&gt;</vt:lpstr>
      <vt:lpstr>3.견적서</vt:lpstr>
      <vt:lpstr>4.거래명세서</vt:lpstr>
      <vt:lpstr>5.발주서 </vt:lpstr>
      <vt:lpstr>'1.발주접수'!Print_Area</vt:lpstr>
      <vt:lpstr>'3.견적서'!Print_Area</vt:lpstr>
      <vt:lpstr>'4.거래명세서'!Print_Area</vt:lpstr>
      <vt:lpstr>'5.발주서 '!Print_Area</vt:lpstr>
      <vt:lpstr>'2-1.고정구단가산출&lt;출력용&gt;'!Print_Titles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탑디뉴스</dc:creator>
  <cp:keywords/>
  <dc:description/>
  <cp:lastModifiedBy>John Lee</cp:lastModifiedBy>
  <cp:revision/>
  <cp:lastPrinted>2026-03-31T02:49:48Z</cp:lastPrinted>
  <dcterms:created xsi:type="dcterms:W3CDTF">2023-08-11T01:12:22Z</dcterms:created>
  <dcterms:modified xsi:type="dcterms:W3CDTF">2026-07-13T13:33:36Z</dcterms:modified>
  <cp:category/>
  <cp:contentStatus/>
</cp:coreProperties>
</file>